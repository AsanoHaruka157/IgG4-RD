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<sst xmlns="http://schemas.openxmlformats.org/spreadsheetml/2006/main" count="246" uniqueCount="178">
  <si>
    <t>检测日期</t>
  </si>
  <si>
    <t>样本编号</t>
  </si>
  <si>
    <t>CD34+CD45dim</t>
  </si>
  <si>
    <t>CD45+SSC(mid)</t>
  </si>
  <si>
    <t>CD45+SSC(high)</t>
  </si>
  <si>
    <t>CD45++SSC(low)</t>
  </si>
  <si>
    <t>CD3+CD19-</t>
  </si>
  <si>
    <t>CD3-CD19+</t>
  </si>
  <si>
    <t>CD3-CD56+CD16+</t>
  </si>
  <si>
    <t>CD3+CD56+CD16+</t>
  </si>
  <si>
    <t>CD3+TCRγδ+</t>
  </si>
  <si>
    <t>CD3+CD4+CD8-</t>
  </si>
  <si>
    <t>CD3+CD4-CD8+</t>
  </si>
  <si>
    <t>CD4+CD25(high)CD127(dim)</t>
  </si>
  <si>
    <t>CD3+CD4+CD45RA+</t>
  </si>
  <si>
    <t>CD3+CD8+CD45RA+</t>
  </si>
  <si>
    <t>CD3+CD4+CD45RO+</t>
  </si>
  <si>
    <t>CD3+CD8+CD45RO+</t>
  </si>
  <si>
    <t>Lin1-HLA-DR+</t>
  </si>
  <si>
    <t>Lin1-CD11c+HLA-DR+</t>
  </si>
  <si>
    <t>Lin-CD123+HLA-DR+</t>
  </si>
  <si>
    <t>Cell0062</t>
  </si>
  <si>
    <t>Cell0005</t>
  </si>
  <si>
    <t>Cell0001</t>
  </si>
  <si>
    <t>Cell0007</t>
  </si>
  <si>
    <t>Cell0003</t>
  </si>
  <si>
    <t>Cell0061</t>
  </si>
  <si>
    <t>Cell0004</t>
  </si>
  <si>
    <t>Cell0006</t>
  </si>
  <si>
    <t>Cell0002</t>
  </si>
  <si>
    <t>Cell0013</t>
  </si>
  <si>
    <t>Cell0008</t>
  </si>
  <si>
    <t>Cell0014</t>
  </si>
  <si>
    <t>Cell0009</t>
  </si>
  <si>
    <t>Cell0015</t>
  </si>
  <si>
    <t>Cell0011</t>
  </si>
  <si>
    <t>Cell0012</t>
  </si>
  <si>
    <t>Cell0010</t>
  </si>
  <si>
    <t>Cell0019</t>
  </si>
  <si>
    <t>Cell0016</t>
  </si>
  <si>
    <t>Cell0020</t>
  </si>
  <si>
    <t>Cell0017</t>
  </si>
  <si>
    <t>Cell0018</t>
  </si>
  <si>
    <t>Cell0063</t>
  </si>
  <si>
    <t>Cell0021</t>
  </si>
  <si>
    <t>Cell0026</t>
  </si>
  <si>
    <t>Cell0022</t>
  </si>
  <si>
    <t>Cell0028</t>
  </si>
  <si>
    <t>Cell0024</t>
  </si>
  <si>
    <t>Cell0027</t>
  </si>
  <si>
    <t>Cell0023</t>
  </si>
  <si>
    <t>Cell0029</t>
  </si>
  <si>
    <t>Cell0025</t>
  </si>
  <si>
    <t>Cell0054</t>
  </si>
  <si>
    <t>Cell0055</t>
  </si>
  <si>
    <t>Cell0056</t>
  </si>
  <si>
    <t>Cell0031</t>
  </si>
  <si>
    <t>Cell0057</t>
  </si>
  <si>
    <t>Cell0030</t>
  </si>
  <si>
    <t>CD45+</t>
  </si>
  <si>
    <t>CD34+占%WBC</t>
  </si>
  <si>
    <t>单核占%WBC</t>
  </si>
  <si>
    <t>粒细胞占%WBC</t>
  </si>
  <si>
    <t>淋巴占%WBC</t>
  </si>
  <si>
    <t>T占%WBC</t>
  </si>
  <si>
    <t>B占%WBC</t>
  </si>
  <si>
    <t>NK占%WBC</t>
  </si>
  <si>
    <t>NKT占%WBC</t>
  </si>
  <si>
    <t>TCRγδ+占%WBC</t>
  </si>
  <si>
    <t>辅助T占%WBC</t>
  </si>
  <si>
    <t>毒性T%WBC</t>
  </si>
  <si>
    <t>CD4+/CD8+</t>
  </si>
  <si>
    <t>Treg%WBC</t>
  </si>
  <si>
    <t>%WBC</t>
  </si>
  <si>
    <t>DC占WBC</t>
  </si>
  <si>
    <t>Lin1-CD123+HLA-DR+</t>
  </si>
  <si>
    <t>PDC%WBC</t>
  </si>
  <si>
    <t>MDC占%WBC</t>
  </si>
  <si>
    <t>白细胞计数</t>
  </si>
  <si>
    <t>CD34+干细胞计数</t>
  </si>
  <si>
    <t>CD34+干细胞百分比</t>
  </si>
  <si>
    <t>单核细胞计数</t>
  </si>
  <si>
    <t>单核细胞百分比</t>
  </si>
  <si>
    <t>粒细胞计数</t>
  </si>
  <si>
    <t>粒细胞百分比</t>
  </si>
  <si>
    <t>淋巴细胞计数</t>
  </si>
  <si>
    <t>淋巴细胞百分比</t>
  </si>
  <si>
    <t>总T淋巴细胞计数</t>
  </si>
  <si>
    <t>总T淋巴细胞百分比</t>
  </si>
  <si>
    <t>总B淋巴细胞计数</t>
  </si>
  <si>
    <t>总B淋巴细胞百分比</t>
  </si>
  <si>
    <t>NK细胞计数</t>
  </si>
  <si>
    <t>NK细胞百分比</t>
  </si>
  <si>
    <t>NK-T细胞计数</t>
  </si>
  <si>
    <t>NK-T细胞百分比</t>
  </si>
  <si>
    <t>γδT细胞计数</t>
  </si>
  <si>
    <t>γδT细胞百分比</t>
  </si>
  <si>
    <t>CD4+辅助T细胞计数</t>
  </si>
  <si>
    <t>CD4+辅助T细胞百分比</t>
  </si>
  <si>
    <t>CD8+细胞毒T细胞计数</t>
  </si>
  <si>
    <t>CD8+细胞毒T细胞百分比</t>
  </si>
  <si>
    <t>调节性CD4+T细胞计数</t>
  </si>
  <si>
    <t>调节性CD4+T细胞百分比</t>
  </si>
  <si>
    <t>占淋巴调节T细胞计数</t>
  </si>
  <si>
    <t>占淋巴调节T细胞百分比</t>
  </si>
  <si>
    <t>CD4+初始T细胞计数</t>
  </si>
  <si>
    <t>CD4+初始T细胞百分比</t>
  </si>
  <si>
    <t>CD8+初始T细胞计数</t>
  </si>
  <si>
    <t>CD8+初始T细胞百分比</t>
  </si>
  <si>
    <t>CD4+效应和记忆T细胞计数</t>
  </si>
  <si>
    <t>CD4+效应和记忆T细胞百分比</t>
  </si>
  <si>
    <t>CD8+效应和记忆T细胞计数</t>
  </si>
  <si>
    <t>CD8+效应和记忆T细胞百分比</t>
  </si>
  <si>
    <t>树突状细胞(DC)计数</t>
  </si>
  <si>
    <t>树突状细胞(DC)百分比</t>
  </si>
  <si>
    <t>浆样树突状细胞(pDC)计数</t>
  </si>
  <si>
    <t>浆样树突状细胞(pDC)百分比</t>
  </si>
  <si>
    <t>髓样树突状细胞(mDC)计数</t>
  </si>
  <si>
    <t>髓样树突状细胞(mDC)百分比</t>
  </si>
  <si>
    <t>序号</t>
  </si>
  <si>
    <t>Tube1</t>
  </si>
  <si>
    <t>Tube2</t>
  </si>
  <si>
    <t>Tube3</t>
  </si>
  <si>
    <t>Tube4</t>
  </si>
  <si>
    <t>Tube5</t>
  </si>
  <si>
    <t>1-1</t>
  </si>
  <si>
    <t>1-2</t>
  </si>
  <si>
    <t>1-3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</si>
  <si>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</si>
  <si>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</si>
  <si>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</si>
  <si>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</si>
  <si>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</si>
  <si>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</si>
  <si>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</si>
  <si>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</si>
  <si>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</si>
  <si>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</si>
  <si>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</si>
  <si>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</si>
  <si>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3-1</t>
  </si>
  <si>
    <t>3-2</t>
  </si>
  <si>
    <t>3-3</t>
  </si>
  <si>
    <t>4-1</t>
  </si>
  <si>
    <t>4-2</t>
  </si>
  <si>
    <t>4-3</t>
  </si>
  <si>
    <t>4-4</t>
  </si>
  <si>
    <t>4-5</t>
  </si>
  <si>
    <t>5-1</t>
  </si>
  <si>
    <t>5-2</t>
  </si>
  <si>
    <t>5-3</t>
  </si>
  <si>
    <t>5-4</t>
  </si>
  <si>
    <t>白细胞计数值</t>
  </si>
  <si>
    <t>WBC1</t>
  </si>
  <si>
    <t>34+45dim</t>
  </si>
  <si>
    <t>WBC2</t>
  </si>
  <si>
    <t>lym2</t>
  </si>
  <si>
    <t>45++SSC(low)</t>
  </si>
  <si>
    <t>45+SSC(mid)</t>
  </si>
  <si>
    <t>45+SSC(high）</t>
  </si>
  <si>
    <t>3+19-</t>
  </si>
  <si>
    <t>3-19+</t>
  </si>
  <si>
    <t>3+TCRγδ+</t>
  </si>
  <si>
    <t>3-56+16+</t>
  </si>
  <si>
    <t>3+56+16+</t>
  </si>
  <si>
    <t>3+4+8-</t>
  </si>
  <si>
    <t>3+4-8+</t>
  </si>
  <si>
    <t>lym3</t>
  </si>
  <si>
    <t>CD4+T</t>
  </si>
  <si>
    <t>4+25(high)127(dim)</t>
  </si>
  <si>
    <t>lym4</t>
  </si>
  <si>
    <t>3+4+45RA+</t>
  </si>
  <si>
    <t>3+4+45RO+</t>
  </si>
  <si>
    <t>3+8+45RA+</t>
  </si>
  <si>
    <t>3+8+45RO+</t>
  </si>
  <si>
    <t>WBC5</t>
  </si>
  <si>
    <t>Lin1-11c+HLA-DR+</t>
  </si>
  <si>
    <t>Lin1-123+HLA-DR+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</si>
</sst>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0"/>
      <name val="微软雅黑"/>
      <charset val="134"/>
    </font>
    <font>
      <sz val="11"/>
      <name val="微软雅黑"/>
      <charset val="134"/>
    </font>
    <font>
      <sz val="10"/>
      <name val="Arial"/>
      <charset val="0"/>
    </font>
    <font>
      <sz val="10"/>
      <name val="Microsoft YaHei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2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32" applyNumberFormat="0" applyAlignment="0" applyProtection="0">
      <alignment vertical="center"/>
    </xf>
    <xf numFmtId="0" fontId="16" fillId="14" borderId="33" applyNumberFormat="0" applyAlignment="0" applyProtection="0">
      <alignment vertical="center"/>
    </xf>
    <xf numFmtId="0" fontId="17" fillId="14" borderId="32" applyNumberFormat="0" applyAlignment="0" applyProtection="0">
      <alignment vertical="center"/>
    </xf>
    <xf numFmtId="0" fontId="18" fillId="15" borderId="34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49" fontId="2" fillId="3" borderId="1" xfId="0" applyNumberFormat="1" applyFont="1" applyFill="1" applyBorder="1">
      <alignment vertical="center"/>
    </xf>
    <xf numFmtId="49" fontId="2" fillId="4" borderId="1" xfId="0" applyNumberFormat="1" applyFont="1" applyFill="1" applyBorder="1">
      <alignment vertical="center"/>
    </xf>
    <xf numFmtId="49" fontId="1" fillId="2" borderId="1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2" fillId="5" borderId="1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>
      <alignment vertical="center"/>
    </xf>
    <xf numFmtId="49" fontId="1" fillId="7" borderId="1" xfId="0" applyNumberFormat="1" applyFont="1" applyFill="1" applyBorder="1">
      <alignment vertical="center"/>
    </xf>
    <xf numFmtId="0" fontId="2" fillId="7" borderId="1" xfId="0" applyFont="1" applyFill="1" applyBorder="1" applyAlignme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14" fontId="1" fillId="9" borderId="1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3" xfId="0" applyNumberFormat="1" applyFont="1" applyFill="1" applyBorder="1" applyAlignment="1">
      <alignment horizontal="left" vertical="center"/>
    </xf>
    <xf numFmtId="0" fontId="5" fillId="9" borderId="14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14" fontId="1" fillId="9" borderId="15" xfId="0" applyNumberFormat="1" applyFont="1" applyFill="1" applyBorder="1" applyAlignment="1">
      <alignment horizontal="center" vertical="center"/>
    </xf>
    <xf numFmtId="0" fontId="5" fillId="9" borderId="16" xfId="0" applyNumberFormat="1" applyFont="1" applyFill="1" applyBorder="1" applyAlignment="1">
      <alignment horizontal="left" vertical="center"/>
    </xf>
    <xf numFmtId="0" fontId="5" fillId="9" borderId="1" xfId="0" applyNumberFormat="1" applyFont="1" applyFill="1" applyBorder="1" applyAlignment="1">
      <alignment horizontal="left" vertical="center"/>
    </xf>
    <xf numFmtId="0" fontId="5" fillId="9" borderId="17" xfId="0" applyNumberFormat="1" applyFont="1" applyFill="1" applyBorder="1" applyAlignment="1">
      <alignment horizontal="left" vertical="center"/>
    </xf>
    <xf numFmtId="0" fontId="5" fillId="9" borderId="17" xfId="0" applyFont="1" applyFill="1" applyBorder="1" applyAlignment="1">
      <alignment horizontal="left" vertical="center"/>
    </xf>
    <xf numFmtId="0" fontId="5" fillId="9" borderId="18" xfId="0" applyFont="1" applyFill="1" applyBorder="1" applyAlignment="1">
      <alignment horizontal="left" vertical="center"/>
    </xf>
    <xf numFmtId="14" fontId="1" fillId="9" borderId="19" xfId="0" applyNumberFormat="1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5" fillId="9" borderId="2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9" borderId="22" xfId="0" applyNumberFormat="1" applyFont="1" applyFill="1" applyBorder="1" applyAlignment="1">
      <alignment horizontal="left" vertical="center"/>
    </xf>
    <xf numFmtId="0" fontId="5" fillId="9" borderId="23" xfId="0" applyNumberFormat="1" applyFont="1" applyFill="1" applyBorder="1" applyAlignment="1">
      <alignment horizontal="left" vertical="center"/>
    </xf>
    <xf numFmtId="0" fontId="5" fillId="11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9" borderId="24" xfId="0" applyNumberFormat="1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left" vertical="center"/>
    </xf>
    <xf numFmtId="0" fontId="5" fillId="9" borderId="26" xfId="0" applyNumberFormat="1" applyFont="1" applyFill="1" applyBorder="1" applyAlignment="1">
      <alignment horizontal="left" vertical="center"/>
    </xf>
    <xf numFmtId="0" fontId="5" fillId="9" borderId="27" xfId="0" applyNumberFormat="1" applyFont="1" applyFill="1" applyBorder="1" applyAlignment="1">
      <alignment horizontal="left" vertical="center"/>
    </xf>
    <xf numFmtId="0" fontId="5" fillId="9" borderId="2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9"/>
  <sheetViews>
    <sheetView tabSelected="1" workbookViewId="0">
      <selection activeCell="A5" sqref="$A5:$XFD5"/>
    </sheetView>
  </sheetViews>
  <sheetFormatPr defaultColWidth="10.8166666666667" defaultRowHeight="15.75"/>
  <cols>
    <col min="1" max="1" width="13.6333333333333" style="2" customWidth="1"/>
    <col min="2" max="2" width="19" style="1" customWidth="1"/>
    <col min="3" max="3" width="15.8166666666667" style="40" customWidth="1"/>
    <col min="4" max="25" width="15.8166666666667" style="1" customWidth="1"/>
    <col min="26" max="26" width="15.8166666666667" style="41" customWidth="1"/>
    <col min="27" max="31" width="15.8166666666667" style="1" customWidth="1"/>
    <col min="32" max="32" width="17.25" style="1" customWidth="1"/>
    <col min="33" max="33" width="17.875" style="1" customWidth="1"/>
    <col min="34" max="37" width="15.8166666666667" style="1" customWidth="1"/>
    <col min="38" max="38" width="23.8166666666667" style="1" customWidth="1"/>
    <col min="39" max="42" width="23" style="1" customWidth="1"/>
    <col min="43" max="48" width="15.8166666666667" style="1" customWidth="1"/>
    <col min="49" max="49" width="20.1833333333333" style="1" customWidth="1"/>
    <col min="50" max="51" width="23.6333333333333" style="1" customWidth="1"/>
    <col min="52" max="52" width="27.3666666666667" style="1" customWidth="1"/>
    <col min="53" max="54" width="28.1833333333333" style="1" customWidth="1"/>
    <col min="55" max="57" width="15.8166666666667" style="1" customWidth="1"/>
    <col min="58" max="58" width="19.6333333333333" style="1" customWidth="1"/>
    <col min="59" max="60" width="20.6333333333333" style="1" customWidth="1"/>
    <col min="61" max="61" width="19.3666666666667" style="1" customWidth="1"/>
    <col min="62" max="62" width="22.425" style="1" customWidth="1"/>
    <col min="63" max="63" width="19.375" style="1" customWidth="1"/>
    <col min="64" max="16384" width="10.8166666666667" style="1"/>
  </cols>
  <sheetData>
    <row r="1" ht="28.5" spans="1:63">
      <c r="A1" s="42" t="s">
        <v>0</v>
      </c>
      <c r="B1" s="43" t="s">
        <v>1</v>
      </c>
      <c r="C1" s="44">
        <v>1</v>
      </c>
      <c r="D1" s="44">
        <v>2</v>
      </c>
      <c r="E1" s="45">
        <v>3</v>
      </c>
      <c r="F1" s="46" t="s">
        <v>2</v>
      </c>
      <c r="G1" s="44">
        <v>4</v>
      </c>
      <c r="H1" s="44">
        <v>5</v>
      </c>
      <c r="I1" s="46" t="s">
        <v>3</v>
      </c>
      <c r="J1" s="45">
        <v>6</v>
      </c>
      <c r="K1" s="44">
        <v>7</v>
      </c>
      <c r="L1" s="46" t="s">
        <v>4</v>
      </c>
      <c r="M1" s="44">
        <v>8</v>
      </c>
      <c r="N1" s="44">
        <v>9</v>
      </c>
      <c r="O1" s="46" t="s">
        <v>5</v>
      </c>
      <c r="P1" s="45">
        <v>10</v>
      </c>
      <c r="Q1" s="44">
        <v>11</v>
      </c>
      <c r="R1" s="46" t="s">
        <v>6</v>
      </c>
      <c r="S1" s="44">
        <v>12</v>
      </c>
      <c r="T1" s="45">
        <v>13</v>
      </c>
      <c r="U1" s="46" t="s">
        <v>7</v>
      </c>
      <c r="V1" s="44">
        <v>14</v>
      </c>
      <c r="W1" s="44">
        <v>15</v>
      </c>
      <c r="X1" s="46" t="s">
        <v>8</v>
      </c>
      <c r="Y1" s="58">
        <v>14</v>
      </c>
      <c r="Z1" s="59">
        <v>16</v>
      </c>
      <c r="AA1" s="46" t="s">
        <v>9</v>
      </c>
      <c r="AB1" s="59">
        <v>17</v>
      </c>
      <c r="AC1" s="59">
        <v>17</v>
      </c>
      <c r="AD1" s="60" t="s">
        <v>10</v>
      </c>
      <c r="AE1" s="44">
        <v>18</v>
      </c>
      <c r="AF1" s="45">
        <v>19</v>
      </c>
      <c r="AG1" s="46" t="s">
        <v>11</v>
      </c>
      <c r="AH1" s="44">
        <v>20</v>
      </c>
      <c r="AI1" s="44">
        <v>21</v>
      </c>
      <c r="AJ1" s="46" t="s">
        <v>12</v>
      </c>
      <c r="AK1" s="44">
        <v>22</v>
      </c>
      <c r="AL1" s="45">
        <v>23</v>
      </c>
      <c r="AM1" s="44">
        <v>24</v>
      </c>
      <c r="AN1" s="44">
        <v>24</v>
      </c>
      <c r="AO1" s="44">
        <v>24</v>
      </c>
      <c r="AP1" s="46" t="s">
        <v>13</v>
      </c>
      <c r="AQ1" s="44">
        <v>25</v>
      </c>
      <c r="AR1" s="44">
        <v>26</v>
      </c>
      <c r="AS1" s="46" t="s">
        <v>14</v>
      </c>
      <c r="AT1" s="45">
        <v>27</v>
      </c>
      <c r="AU1" s="44">
        <v>28</v>
      </c>
      <c r="AV1" s="46" t="s">
        <v>15</v>
      </c>
      <c r="AW1" s="44">
        <v>29</v>
      </c>
      <c r="AX1" s="45">
        <v>30</v>
      </c>
      <c r="AY1" s="46" t="s">
        <v>16</v>
      </c>
      <c r="AZ1" s="44">
        <v>31</v>
      </c>
      <c r="BA1" s="44">
        <v>32</v>
      </c>
      <c r="BB1" s="46" t="s">
        <v>17</v>
      </c>
      <c r="BC1" s="44">
        <v>33</v>
      </c>
      <c r="BD1" s="45">
        <v>34</v>
      </c>
      <c r="BE1" s="46" t="s">
        <v>18</v>
      </c>
      <c r="BF1" s="44">
        <v>35</v>
      </c>
      <c r="BG1" s="44">
        <v>38</v>
      </c>
      <c r="BH1" s="46" t="s">
        <v>19</v>
      </c>
      <c r="BI1" s="45">
        <v>37</v>
      </c>
      <c r="BJ1" s="44">
        <v>36</v>
      </c>
      <c r="BK1" s="46" t="s">
        <v>20</v>
      </c>
    </row>
    <row r="2" ht="16.5" spans="1:63">
      <c r="A2" s="47"/>
      <c r="B2" s="43"/>
      <c r="C2" s="48" t="s">
        <v>21</v>
      </c>
      <c r="D2" s="48" t="s">
        <v>22</v>
      </c>
      <c r="E2" s="49" t="s">
        <v>23</v>
      </c>
      <c r="F2" s="46"/>
      <c r="G2" s="49" t="s">
        <v>24</v>
      </c>
      <c r="H2" s="49" t="s">
        <v>25</v>
      </c>
      <c r="I2" s="46"/>
      <c r="J2" s="49" t="s">
        <v>26</v>
      </c>
      <c r="K2" s="49" t="s">
        <v>27</v>
      </c>
      <c r="L2" s="46"/>
      <c r="M2" s="49" t="s">
        <v>28</v>
      </c>
      <c r="N2" s="49" t="s">
        <v>29</v>
      </c>
      <c r="O2" s="46"/>
      <c r="P2" s="49" t="s">
        <v>30</v>
      </c>
      <c r="Q2" s="49" t="s">
        <v>31</v>
      </c>
      <c r="R2" s="46"/>
      <c r="S2" s="49" t="s">
        <v>32</v>
      </c>
      <c r="T2" s="49" t="s">
        <v>33</v>
      </c>
      <c r="U2" s="46"/>
      <c r="V2" s="49" t="s">
        <v>34</v>
      </c>
      <c r="W2" s="49" t="s">
        <v>35</v>
      </c>
      <c r="X2" s="46"/>
      <c r="Y2" s="61"/>
      <c r="Z2" s="59" t="s">
        <v>36</v>
      </c>
      <c r="AA2" s="46"/>
      <c r="AB2" s="59" t="s">
        <v>37</v>
      </c>
      <c r="AC2" s="59" t="s">
        <v>37</v>
      </c>
      <c r="AD2" s="46"/>
      <c r="AE2" s="48" t="s">
        <v>38</v>
      </c>
      <c r="AF2" s="49" t="s">
        <v>39</v>
      </c>
      <c r="AG2" s="46"/>
      <c r="AH2" s="49" t="s">
        <v>40</v>
      </c>
      <c r="AI2" s="49" t="s">
        <v>41</v>
      </c>
      <c r="AJ2" s="46"/>
      <c r="AK2" s="49" t="s">
        <v>42</v>
      </c>
      <c r="AL2" s="49" t="s">
        <v>43</v>
      </c>
      <c r="AM2" s="49" t="s">
        <v>44</v>
      </c>
      <c r="AN2" s="49" t="s">
        <v>44</v>
      </c>
      <c r="AO2" s="49" t="s">
        <v>44</v>
      </c>
      <c r="AP2" s="46"/>
      <c r="AQ2" s="49" t="s">
        <v>45</v>
      </c>
      <c r="AR2" s="49" t="s">
        <v>46</v>
      </c>
      <c r="AS2" s="46"/>
      <c r="AT2" s="49" t="s">
        <v>47</v>
      </c>
      <c r="AU2" s="49" t="s">
        <v>48</v>
      </c>
      <c r="AV2" s="46"/>
      <c r="AW2" s="49" t="s">
        <v>49</v>
      </c>
      <c r="AX2" s="49" t="s">
        <v>50</v>
      </c>
      <c r="AY2" s="46"/>
      <c r="AZ2" s="49" t="s">
        <v>51</v>
      </c>
      <c r="BA2" s="49" t="s">
        <v>52</v>
      </c>
      <c r="BB2" s="46"/>
      <c r="BC2" s="49" t="s">
        <v>53</v>
      </c>
      <c r="BD2" s="49" t="s">
        <v>54</v>
      </c>
      <c r="BE2" s="46"/>
      <c r="BF2" s="49" t="s">
        <v>55</v>
      </c>
      <c r="BG2" s="64" t="s">
        <v>56</v>
      </c>
      <c r="BH2" s="46"/>
      <c r="BI2" s="49" t="s">
        <v>57</v>
      </c>
      <c r="BJ2" s="49" t="s">
        <v>58</v>
      </c>
      <c r="BK2" s="46"/>
    </row>
    <row r="3" ht="15" customHeight="1" spans="1:63">
      <c r="A3" s="47"/>
      <c r="B3" s="43"/>
      <c r="C3" s="50" t="s">
        <v>59</v>
      </c>
      <c r="D3" s="51" t="s">
        <v>2</v>
      </c>
      <c r="E3" s="52" t="s">
        <v>2</v>
      </c>
      <c r="F3" s="46" t="s">
        <v>60</v>
      </c>
      <c r="G3" s="52" t="s">
        <v>3</v>
      </c>
      <c r="H3" s="52" t="s">
        <v>3</v>
      </c>
      <c r="I3" s="46" t="s">
        <v>61</v>
      </c>
      <c r="J3" s="52" t="s">
        <v>4</v>
      </c>
      <c r="K3" s="52" t="s">
        <v>4</v>
      </c>
      <c r="L3" s="46" t="s">
        <v>62</v>
      </c>
      <c r="M3" s="52" t="s">
        <v>5</v>
      </c>
      <c r="N3" s="52" t="s">
        <v>5</v>
      </c>
      <c r="O3" s="46" t="s">
        <v>63</v>
      </c>
      <c r="P3" s="52" t="s">
        <v>6</v>
      </c>
      <c r="Q3" s="52" t="s">
        <v>6</v>
      </c>
      <c r="R3" s="46" t="s">
        <v>64</v>
      </c>
      <c r="S3" s="52" t="s">
        <v>7</v>
      </c>
      <c r="T3" s="52" t="s">
        <v>7</v>
      </c>
      <c r="U3" s="46" t="s">
        <v>65</v>
      </c>
      <c r="V3" s="52" t="s">
        <v>8</v>
      </c>
      <c r="W3" s="52" t="s">
        <v>8</v>
      </c>
      <c r="X3" s="46" t="s">
        <v>66</v>
      </c>
      <c r="Y3" s="62" t="s">
        <v>9</v>
      </c>
      <c r="Z3" s="60" t="s">
        <v>9</v>
      </c>
      <c r="AA3" s="46" t="s">
        <v>67</v>
      </c>
      <c r="AB3" s="60" t="s">
        <v>10</v>
      </c>
      <c r="AC3" s="60" t="s">
        <v>10</v>
      </c>
      <c r="AD3" s="46" t="s">
        <v>68</v>
      </c>
      <c r="AE3" s="51" t="s">
        <v>11</v>
      </c>
      <c r="AF3" s="52" t="s">
        <v>11</v>
      </c>
      <c r="AG3" s="46" t="s">
        <v>69</v>
      </c>
      <c r="AH3" s="52" t="s">
        <v>12</v>
      </c>
      <c r="AI3" s="52" t="s">
        <v>12</v>
      </c>
      <c r="AJ3" s="46" t="s">
        <v>70</v>
      </c>
      <c r="AK3" s="52" t="s">
        <v>71</v>
      </c>
      <c r="AL3" s="52" t="s">
        <v>13</v>
      </c>
      <c r="AM3" s="52" t="s">
        <v>13</v>
      </c>
      <c r="AN3" s="52" t="s">
        <v>13</v>
      </c>
      <c r="AO3" s="52" t="s">
        <v>13</v>
      </c>
      <c r="AP3" s="46" t="s">
        <v>72</v>
      </c>
      <c r="AQ3" s="52" t="s">
        <v>14</v>
      </c>
      <c r="AR3" s="52" t="s">
        <v>14</v>
      </c>
      <c r="AS3" s="46" t="s">
        <v>73</v>
      </c>
      <c r="AT3" s="52" t="s">
        <v>15</v>
      </c>
      <c r="AU3" s="52" t="s">
        <v>15</v>
      </c>
      <c r="AV3" s="46" t="s">
        <v>73</v>
      </c>
      <c r="AW3" s="52" t="s">
        <v>16</v>
      </c>
      <c r="AX3" s="52" t="s">
        <v>16</v>
      </c>
      <c r="AY3" s="46" t="s">
        <v>73</v>
      </c>
      <c r="AZ3" s="52" t="s">
        <v>17</v>
      </c>
      <c r="BA3" s="52" t="s">
        <v>17</v>
      </c>
      <c r="BB3" s="46" t="s">
        <v>73</v>
      </c>
      <c r="BC3" s="52" t="s">
        <v>18</v>
      </c>
      <c r="BD3" s="52" t="s">
        <v>18</v>
      </c>
      <c r="BE3" s="46" t="s">
        <v>74</v>
      </c>
      <c r="BF3" s="52" t="s">
        <v>75</v>
      </c>
      <c r="BG3" s="65" t="s">
        <v>75</v>
      </c>
      <c r="BH3" s="46" t="s">
        <v>76</v>
      </c>
      <c r="BI3" s="65" t="s">
        <v>19</v>
      </c>
      <c r="BJ3" s="52" t="s">
        <v>19</v>
      </c>
      <c r="BK3" s="46" t="s">
        <v>77</v>
      </c>
    </row>
    <row r="4" ht="17.25" spans="1:63">
      <c r="A4" s="53"/>
      <c r="B4" s="54"/>
      <c r="C4" s="55" t="s">
        <v>78</v>
      </c>
      <c r="D4" s="55" t="s">
        <v>79</v>
      </c>
      <c r="E4" s="55" t="s">
        <v>80</v>
      </c>
      <c r="F4" s="56" t="s">
        <v>73</v>
      </c>
      <c r="G4" s="57" t="s">
        <v>81</v>
      </c>
      <c r="H4" s="57" t="s">
        <v>82</v>
      </c>
      <c r="I4" s="56" t="s">
        <v>73</v>
      </c>
      <c r="J4" s="57" t="s">
        <v>83</v>
      </c>
      <c r="K4" s="57" t="s">
        <v>84</v>
      </c>
      <c r="L4" s="56" t="s">
        <v>73</v>
      </c>
      <c r="M4" s="57" t="s">
        <v>85</v>
      </c>
      <c r="N4" s="57" t="s">
        <v>86</v>
      </c>
      <c r="O4" s="56" t="s">
        <v>73</v>
      </c>
      <c r="P4" s="57" t="s">
        <v>87</v>
      </c>
      <c r="Q4" s="57" t="s">
        <v>88</v>
      </c>
      <c r="R4" s="56" t="s">
        <v>73</v>
      </c>
      <c r="S4" s="57" t="s">
        <v>89</v>
      </c>
      <c r="T4" s="57" t="s">
        <v>90</v>
      </c>
      <c r="U4" s="56" t="s">
        <v>73</v>
      </c>
      <c r="V4" s="57" t="s">
        <v>91</v>
      </c>
      <c r="W4" s="57" t="s">
        <v>92</v>
      </c>
      <c r="X4" s="56" t="s">
        <v>73</v>
      </c>
      <c r="Y4" s="63" t="s">
        <v>93</v>
      </c>
      <c r="Z4" s="59" t="s">
        <v>94</v>
      </c>
      <c r="AA4" s="56" t="s">
        <v>73</v>
      </c>
      <c r="AB4" s="59" t="s">
        <v>95</v>
      </c>
      <c r="AC4" s="59" t="s">
        <v>96</v>
      </c>
      <c r="AD4" s="56" t="s">
        <v>73</v>
      </c>
      <c r="AE4" s="55" t="s">
        <v>97</v>
      </c>
      <c r="AF4" s="57" t="s">
        <v>98</v>
      </c>
      <c r="AG4" s="56" t="s">
        <v>73</v>
      </c>
      <c r="AH4" s="57" t="s">
        <v>99</v>
      </c>
      <c r="AI4" s="57" t="s">
        <v>100</v>
      </c>
      <c r="AJ4" s="56" t="s">
        <v>73</v>
      </c>
      <c r="AK4" s="57" t="s">
        <v>71</v>
      </c>
      <c r="AL4" s="57" t="s">
        <v>101</v>
      </c>
      <c r="AM4" s="57" t="s">
        <v>102</v>
      </c>
      <c r="AN4" s="57" t="s">
        <v>103</v>
      </c>
      <c r="AO4" s="57" t="s">
        <v>104</v>
      </c>
      <c r="AP4" s="56" t="s">
        <v>73</v>
      </c>
      <c r="AQ4" s="57" t="s">
        <v>105</v>
      </c>
      <c r="AR4" s="57" t="s">
        <v>106</v>
      </c>
      <c r="AS4" s="56" t="s">
        <v>73</v>
      </c>
      <c r="AT4" s="57" t="s">
        <v>107</v>
      </c>
      <c r="AU4" s="57" t="s">
        <v>108</v>
      </c>
      <c r="AV4" s="56" t="s">
        <v>73</v>
      </c>
      <c r="AW4" s="57" t="s">
        <v>109</v>
      </c>
      <c r="AX4" s="57" t="s">
        <v>110</v>
      </c>
      <c r="AY4" s="56" t="s">
        <v>73</v>
      </c>
      <c r="AZ4" s="57" t="s">
        <v>111</v>
      </c>
      <c r="BA4" s="57" t="s">
        <v>112</v>
      </c>
      <c r="BB4" s="56" t="s">
        <v>73</v>
      </c>
      <c r="BC4" s="57" t="s">
        <v>113</v>
      </c>
      <c r="BD4" s="57" t="s">
        <v>114</v>
      </c>
      <c r="BE4" s="56" t="s">
        <v>73</v>
      </c>
      <c r="BF4" s="57" t="s">
        <v>115</v>
      </c>
      <c r="BG4" s="57" t="s">
        <v>116</v>
      </c>
      <c r="BH4" s="56" t="s">
        <v>73</v>
      </c>
      <c r="BI4" s="57" t="s">
        <v>117</v>
      </c>
      <c r="BJ4" s="57" t="s">
        <v>118</v>
      </c>
      <c r="BK4" s="56" t="s">
        <v>73</v>
      </c>
    </row>
    <row r="5" spans="1:63">
      <c r="A5" s="2" t="str">
        <f>IF(Sheet1!B5="","",Sheet1!B5)</f>
        <v/>
      </c>
      <c r="B5" s="2" t="str">
        <f>IF(Sheet1!C5="","",Sheet1!C5)</f>
        <v/>
      </c>
      <c r="C5" s="40">
        <f>IF(Sheet1!D5="","",Sheet1!D5)</f>
        <v>8030</v>
      </c>
      <c r="D5" s="1">
        <f>IFERROR(ROUND(Sheet1!D5*Sheet1!F5/Sheet1!E5,2),"")</f>
        <v>0.52</v>
      </c>
      <c r="E5" s="1">
        <f>IFERROR(ROUND(Sheet1!F5/Sheet1!E5*100,2),"")</f>
        <v>0.01</v>
      </c>
      <c r="F5" s="1">
        <f>D5/C5</f>
        <v>6.47571606475716e-5</v>
      </c>
      <c r="G5" s="1">
        <f>IFERROR(ROUND(Sheet1!D5*Sheet1!J5/Sheet1!G5,0),"")</f>
        <v>478</v>
      </c>
      <c r="H5" s="1">
        <f>IFERROR(ROUND(Sheet1!J5/Sheet1!G5*100,2),"")</f>
        <v>5.95</v>
      </c>
      <c r="I5" s="1">
        <f>G5/C5</f>
        <v>0.0595267745952677</v>
      </c>
      <c r="J5" s="1">
        <f>IFERROR(ROUND(Sheet1!D5*Sheet1!K5/Sheet1!G5,0),"")</f>
        <v>5147</v>
      </c>
      <c r="K5" s="1">
        <f>IFERROR(ROUND(Sheet1!K5/Sheet1!G5*100,2),"")</f>
        <v>64.09</v>
      </c>
      <c r="L5" s="1">
        <f>J5/C5</f>
        <v>0.640971357409714</v>
      </c>
      <c r="M5" s="1">
        <f>IFERROR(ROUND(Sheet1!D5*Sheet1!I5/Sheet1!G5,0),"")</f>
        <v>2036</v>
      </c>
      <c r="N5" s="1">
        <f>IFERROR(ROUND(Sheet1!I5/Sheet1!G5*100,2),"")</f>
        <v>25.36</v>
      </c>
      <c r="O5" s="1">
        <f>M5/C5</f>
        <v>0.253549190535492</v>
      </c>
      <c r="P5" s="1">
        <f>IFERROR(ROUND(Sheet1!L5/Sheet1!H5*M5,0),"")</f>
        <v>1394</v>
      </c>
      <c r="Q5" s="1">
        <f>IFERROR(ROUND(Sheet1!L5/Sheet1!H5*100,2),"")</f>
        <v>68.45</v>
      </c>
      <c r="R5" s="1">
        <f>P5/C5</f>
        <v>0.17359900373599</v>
      </c>
      <c r="S5" s="1">
        <f>IFERROR(ROUND(Sheet1!M5/Sheet1!H5*M5,0),"")</f>
        <v>258</v>
      </c>
      <c r="T5" s="1">
        <f>IFERROR(ROUND(Sheet1!M5/Sheet1!H5*100,2),"")</f>
        <v>12.69</v>
      </c>
      <c r="U5" s="1">
        <f>S5/C5</f>
        <v>0.0321295143212951</v>
      </c>
      <c r="V5" s="1">
        <f>IFERROR(ROUND(Sheet1!O5/Sheet1!H5*M5,0),"")</f>
        <v>168</v>
      </c>
      <c r="W5" s="1">
        <f>IFERROR(ROUND(Sheet1!O5/Sheet1!H5*100,2),"")</f>
        <v>8.23</v>
      </c>
      <c r="X5" s="1">
        <f>V5/C5</f>
        <v>0.0209215442092154</v>
      </c>
      <c r="Y5" s="1">
        <f>IFERROR(ROUND(Sheet1!P5/Sheet1!H5*M5,0),"")</f>
        <v>230</v>
      </c>
      <c r="Z5" s="1">
        <f>IFERROR(ROUND(Sheet1!P5/Sheet1!H5*100,2),"")</f>
        <v>11.28</v>
      </c>
      <c r="AA5" s="1">
        <f>Y5/C5</f>
        <v>0.0286425902864259</v>
      </c>
      <c r="AB5" s="1">
        <f>IFERROR(ROUND(Sheet1!N5/Sheet1!H5*M5,0),"")</f>
        <v>24</v>
      </c>
      <c r="AC5" s="1">
        <f>IFERROR(ROUND(Sheet1!N5/Sheet1!H5*100,2),"")</f>
        <v>1.16</v>
      </c>
      <c r="AD5" s="1">
        <f>AB5/C5</f>
        <v>0.00298879202988792</v>
      </c>
      <c r="AE5" s="1">
        <f>IFERROR(ROUND(Sheet1!Q5/Sheet1!H5*M5,0),"")</f>
        <v>664</v>
      </c>
      <c r="AF5" s="1">
        <f>IFERROR(ROUND(Sheet1!Q5/Sheet1!H5*100,2),"")</f>
        <v>32.63</v>
      </c>
      <c r="AG5" s="1">
        <f>AE5/C5</f>
        <v>0.0826899128268991</v>
      </c>
      <c r="AH5" s="1">
        <f>IFERROR(ROUND(Sheet1!R5/Sheet1!H5*M5,0),"")</f>
        <v>671</v>
      </c>
      <c r="AI5" s="1">
        <f>IFERROR(ROUND(Sheet1!R5/Sheet1!H5*100,2),"")</f>
        <v>32.93</v>
      </c>
      <c r="AJ5" s="1">
        <f>AH5/C5</f>
        <v>0.0835616438356164</v>
      </c>
      <c r="AK5" s="1">
        <f>IFERROR(ROUND(AF5/AI5,2),"")</f>
        <v>0.99</v>
      </c>
      <c r="AL5" s="1">
        <f>IFERROR(ROUND(Sheet1!U5/Sheet1!T5*AE5,0),"")</f>
        <v>22</v>
      </c>
      <c r="AM5" s="1">
        <f>IFERROR(ROUND(Sheet1!U5/Sheet1!T5*100,2),"")</f>
        <v>3.33</v>
      </c>
      <c r="AN5" s="1">
        <f>IFERROR(ROUND(Sheet1!U5/Sheet1!S5*M5,0),"")</f>
        <v>26</v>
      </c>
      <c r="AO5" s="1">
        <f>IFERROR(ROUND(Sheet1!U5/Sheet1!S5*100,2),"")</f>
        <v>1.28</v>
      </c>
      <c r="AP5" s="1">
        <f>AN5/C5</f>
        <v>0.00323785803237858</v>
      </c>
      <c r="AQ5" s="1">
        <f>IFERROR(ROUND(Sheet1!W5/Sheet1!V5*M5,0),"")</f>
        <v>99</v>
      </c>
      <c r="AR5" s="1">
        <f>IFERROR(ROUND(Sheet1!W5/Sheet1!V5*100,2),"")</f>
        <v>4.87</v>
      </c>
      <c r="AS5" s="1">
        <f>AQ5/C5</f>
        <v>0.0123287671232877</v>
      </c>
      <c r="AT5" s="1">
        <f>IFERROR(ROUND(Sheet1!Y5/Sheet1!V5*M5,0),"")</f>
        <v>67</v>
      </c>
      <c r="AU5" s="1">
        <f>IFERROR(ROUND(Sheet1!Y5/Sheet1!V5*100,2),"")</f>
        <v>3.29</v>
      </c>
      <c r="AV5" s="1">
        <f>AT5/C5</f>
        <v>0.00834371108343711</v>
      </c>
      <c r="AW5" s="1">
        <f>IFERROR(ROUND(Sheet1!X5/Sheet1!V5*M5,0),"")</f>
        <v>531</v>
      </c>
      <c r="AX5" s="1">
        <f>IFERROR(ROUND(Sheet1!X5/Sheet1!V5*100,2),"")</f>
        <v>26.07</v>
      </c>
      <c r="AY5" s="1">
        <f>AW5/C5</f>
        <v>0.0661270236612702</v>
      </c>
      <c r="AZ5" s="1">
        <f>IFERROR(ROUND(Sheet1!Z5/Sheet1!V5*M5,0),"")</f>
        <v>307</v>
      </c>
      <c r="BA5" s="1">
        <f>IFERROR(ROUND(Sheet1!Z5/Sheet1!V5*100,2),"")</f>
        <v>15.08</v>
      </c>
      <c r="BB5" s="1">
        <f>AZ5/C5</f>
        <v>0.0382316313823163</v>
      </c>
      <c r="BC5" s="1">
        <f>IFERROR(ROUND(Sheet1!AB5/Sheet1!AA5*Sheet1!D5,0),"")</f>
        <v>41</v>
      </c>
      <c r="BD5" s="1">
        <f>IFERROR(ROUND(Sheet1!AB5/Sheet1!AA5*100,2),"")</f>
        <v>0.51</v>
      </c>
      <c r="BE5" s="1">
        <f>BC5/C5</f>
        <v>0.00510585305105853</v>
      </c>
      <c r="BF5" s="1">
        <f>IFERROR(ROUND(Sheet1!AD5/Sheet1!AA5*Sheet1!D5,0),"")</f>
        <v>6</v>
      </c>
      <c r="BG5" s="1">
        <f>IFERROR(ROUND(Sheet1!AD5/Sheet1!AA5*100,2),"")</f>
        <v>0.07</v>
      </c>
      <c r="BH5" s="1">
        <f>BF5/C5</f>
        <v>0.00074719800747198</v>
      </c>
      <c r="BI5" s="1">
        <f>IFERROR(ROUND(Sheet1!AC5/Sheet1!AA5*Sheet1!D5,0),"")</f>
        <v>25</v>
      </c>
      <c r="BJ5" s="1">
        <f>IFERROR(ROUND(Sheet1!AC5/Sheet1!AA5*100,2),"")</f>
        <v>0.31</v>
      </c>
      <c r="BK5" s="1">
        <f>BI5/C5</f>
        <v>0.00311332503113325</v>
      </c>
    </row>
    <row r="6" spans="2:2">
      <c r="B6" s="2"/>
    </row>
    <row r="7" spans="2:2">
      <c r="B7" s="2"/>
    </row>
    <row r="8" spans="2:38">
      <c r="B8" s="2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2:38">
      <c r="B9" s="2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62">
      <c r="A10" s="2" t="str">
        <f>IF(Sheet1!B17="","",Sheet1!B17)</f>
        <v/>
      </c>
      <c r="B10" s="2" t="str">
        <f>IF(Sheet1!C17="","",Sheet1!C17)</f>
        <v/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s="1" t="str">
        <f>IFERROR(ROUND(Sheet1!#REF!/Sheet1!#REF!*100,2),"")</f>
        <v/>
      </c>
      <c r="AQ10" s="1" t="str">
        <f>IFERROR(ROUND(Sheet1!#REF!/Sheet1!#REF!*Sheet1!N10,0),"")</f>
        <v/>
      </c>
      <c r="AR10" s="1" t="str">
        <f>IFERROR(ROUND(Sheet1!#REF!/Sheet1!#REF!*100,2),"")</f>
        <v/>
      </c>
      <c r="AT10" s="1" t="str">
        <f>IFERROR(ROUND(Sheet1!#REF!/Sheet1!#REF!*Sheet1!N10,0),"")</f>
        <v/>
      </c>
      <c r="AU10" s="1" t="str">
        <f>IFERROR(ROUND(Sheet1!#REF!/Sheet1!#REF!*100,2),"")</f>
        <v/>
      </c>
      <c r="AW10" s="1" t="str">
        <f>IFERROR(ROUND(Sheet1!#REF!/Sheet1!#REF!*Sheet1!N10,0),"")</f>
        <v/>
      </c>
      <c r="AX10" s="1" t="str">
        <f>IFERROR(ROUND(Sheet1!#REF!/Sheet1!#REF!*100,2),"")</f>
        <v/>
      </c>
      <c r="AZ10" s="1" t="str">
        <f>IFERROR(ROUND(Sheet1!#REF!/Sheet1!#REF!*Sheet1!N10,0),"")</f>
        <v/>
      </c>
      <c r="BA10" s="1" t="str">
        <f>IFERROR(ROUND(Sheet1!#REF!/Sheet1!#REF!*100,2),"")</f>
        <v/>
      </c>
      <c r="BC10" s="1" t="str">
        <f>IFERROR(ROUND(Sheet1!#REF!/Sheet1!#REF!*Sheet1!#REF!,0),"")</f>
        <v/>
      </c>
      <c r="BD10" s="1" t="str">
        <f>IFERROR(ROUND(Sheet1!#REF!/Sheet1!#REF!*100,2),"")</f>
        <v/>
      </c>
      <c r="BF10" s="1" t="str">
        <f>IFERROR(ROUND(Sheet1!#REF!/Sheet1!#REF!*Sheet1!#REF!,0),"")</f>
        <v/>
      </c>
      <c r="BG10" s="1" t="str">
        <f>IFERROR(ROUND(Sheet1!#REF!/Sheet1!#REF!*100,2),"")</f>
        <v/>
      </c>
      <c r="BJ10" s="1" t="str">
        <f>IFERROR(ROUND(Sheet1!#REF!/Sheet1!#REF!*100,2),"")</f>
        <v/>
      </c>
    </row>
    <row r="11" spans="1:62">
      <c r="A11" s="2" t="str">
        <f>IF(Sheet1!B18="","",Sheet1!B18)</f>
        <v/>
      </c>
      <c r="B11" s="2" t="str">
        <f>IF(Sheet1!C18="","",Sheet1!C18)</f>
        <v/>
      </c>
      <c r="C11" s="40" t="str">
        <f>IF(Sheet1!D18="","",Sheet1!D18)</f>
        <v/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s="1" t="str">
        <f>IFERROR(ROUND(Sheet1!#REF!/Sheet1!#REF!*100,2),"")</f>
        <v/>
      </c>
      <c r="AQ11" s="1" t="str">
        <f>IFERROR(ROUND(Sheet1!#REF!/Sheet1!#REF!*Sheet1!N11,0),"")</f>
        <v/>
      </c>
      <c r="AR11" s="1" t="str">
        <f>IFERROR(ROUND(Sheet1!#REF!/Sheet1!#REF!*100,2),"")</f>
        <v/>
      </c>
      <c r="AT11" s="1" t="str">
        <f>IFERROR(ROUND(Sheet1!#REF!/Sheet1!#REF!*Sheet1!N11,0),"")</f>
        <v/>
      </c>
      <c r="AU11" s="1" t="str">
        <f>IFERROR(ROUND(Sheet1!#REF!/Sheet1!#REF!*100,2),"")</f>
        <v/>
      </c>
      <c r="AW11" s="1" t="str">
        <f>IFERROR(ROUND(Sheet1!#REF!/Sheet1!#REF!*Sheet1!N11,0),"")</f>
        <v/>
      </c>
      <c r="AX11" s="1" t="str">
        <f>IFERROR(ROUND(Sheet1!#REF!/Sheet1!#REF!*100,2),"")</f>
        <v/>
      </c>
      <c r="AZ11" s="1" t="str">
        <f>IFERROR(ROUND(Sheet1!#REF!/Sheet1!#REF!*Sheet1!N11,0),"")</f>
        <v/>
      </c>
      <c r="BA11" s="1" t="str">
        <f>IFERROR(ROUND(Sheet1!#REF!/Sheet1!#REF!*100,2),"")</f>
        <v/>
      </c>
      <c r="BC11" s="1" t="str">
        <f>IFERROR(ROUND(Sheet1!#REF!/Sheet1!#REF!*Sheet1!D18,0),"")</f>
        <v/>
      </c>
      <c r="BD11" s="1" t="str">
        <f>IFERROR(ROUND(Sheet1!#REF!/Sheet1!#REF!*100,2),"")</f>
        <v/>
      </c>
      <c r="BF11" s="1" t="str">
        <f>IFERROR(ROUND(Sheet1!#REF!/Sheet1!#REF!*Sheet1!D18,0),"")</f>
        <v/>
      </c>
      <c r="BG11" s="1" t="str">
        <f>IFERROR(ROUND(Sheet1!#REF!/Sheet1!#REF!*100,2),"")</f>
        <v/>
      </c>
      <c r="BJ11" s="1" t="str">
        <f>IFERROR(ROUND(Sheet1!#REF!/Sheet1!#REF!*100,2),"")</f>
        <v/>
      </c>
    </row>
    <row r="12" spans="1:62">
      <c r="A12" s="2" t="str">
        <f>IF(Sheet1!B19="","",Sheet1!B19)</f>
        <v/>
      </c>
      <c r="B12" s="2" t="str">
        <f>IF(Sheet1!C19="","",Sheet1!C19)</f>
        <v/>
      </c>
      <c r="C12" s="40" t="str">
        <f>IF(Sheet1!D19="","",Sheet1!D19)</f>
        <v/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s="1" t="str">
        <f>IFERROR(ROUND(Sheet1!#REF!/Sheet1!#REF!*100,2),"")</f>
        <v/>
      </c>
      <c r="AQ12" s="1" t="str">
        <f>IFERROR(ROUND(Sheet1!#REF!/Sheet1!#REF!*Sheet1!N12,0),"")</f>
        <v/>
      </c>
      <c r="AR12" s="1" t="str">
        <f>IFERROR(ROUND(Sheet1!#REF!/Sheet1!#REF!*100,2),"")</f>
        <v/>
      </c>
      <c r="AT12" s="1" t="str">
        <f>IFERROR(ROUND(Sheet1!#REF!/Sheet1!#REF!*Sheet1!N12,0),"")</f>
        <v/>
      </c>
      <c r="AU12" s="1" t="str">
        <f>IFERROR(ROUND(Sheet1!#REF!/Sheet1!#REF!*100,2),"")</f>
        <v/>
      </c>
      <c r="AW12" s="1" t="str">
        <f>IFERROR(ROUND(Sheet1!#REF!/Sheet1!#REF!*Sheet1!N12,0),"")</f>
        <v/>
      </c>
      <c r="AX12" s="1" t="str">
        <f>IFERROR(ROUND(Sheet1!#REF!/Sheet1!#REF!*100,2),"")</f>
        <v/>
      </c>
      <c r="AZ12" s="1" t="str">
        <f>IFERROR(ROUND(Sheet1!#REF!/Sheet1!#REF!*Sheet1!N12,0),"")</f>
        <v/>
      </c>
      <c r="BA12" s="1" t="str">
        <f>IFERROR(ROUND(Sheet1!#REF!/Sheet1!#REF!*100,2),"")</f>
        <v/>
      </c>
      <c r="BC12" s="1" t="str">
        <f>IFERROR(ROUND(Sheet1!#REF!/Sheet1!#REF!*Sheet1!D19,0),"")</f>
        <v/>
      </c>
      <c r="BD12" s="1" t="str">
        <f>IFERROR(ROUND(Sheet1!#REF!/Sheet1!#REF!*100,2),"")</f>
        <v/>
      </c>
      <c r="BF12" s="1" t="str">
        <f>IFERROR(ROUND(Sheet1!#REF!/Sheet1!#REF!*Sheet1!D19,0),"")</f>
        <v/>
      </c>
      <c r="BG12" s="1" t="str">
        <f>IFERROR(ROUND(Sheet1!#REF!/Sheet1!#REF!*100,2),"")</f>
        <v/>
      </c>
      <c r="BJ12" s="1" t="str">
        <f>IFERROR(ROUND(Sheet1!#REF!/Sheet1!#REF!*100,2),"")</f>
        <v/>
      </c>
    </row>
    <row r="13" spans="1:62">
      <c r="A13" s="2" t="str">
        <f>IF(Sheet1!B20="","",Sheet1!B20)</f>
        <v/>
      </c>
      <c r="B13" s="2" t="str">
        <f>IF(Sheet1!C20="","",Sheet1!C20)</f>
        <v/>
      </c>
      <c r="C13" s="40" t="str">
        <f>IF(Sheet1!D20="","",Sheet1!D20)</f>
        <v/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s="1" t="str">
        <f>IFERROR(ROUND(Sheet1!#REF!/Sheet1!#REF!*100,2),"")</f>
        <v/>
      </c>
      <c r="AQ13" s="1" t="str">
        <f>IFERROR(ROUND(Sheet1!#REF!/Sheet1!#REF!*Sheet1!N13,0),"")</f>
        <v/>
      </c>
      <c r="AR13" s="1" t="str">
        <f>IFERROR(ROUND(Sheet1!#REF!/Sheet1!#REF!*100,2),"")</f>
        <v/>
      </c>
      <c r="AT13" s="1" t="str">
        <f>IFERROR(ROUND(Sheet1!#REF!/Sheet1!#REF!*Sheet1!N13,0),"")</f>
        <v/>
      </c>
      <c r="AU13" s="1" t="str">
        <f>IFERROR(ROUND(Sheet1!#REF!/Sheet1!#REF!*100,2),"")</f>
        <v/>
      </c>
      <c r="AW13" s="1" t="str">
        <f>IFERROR(ROUND(Sheet1!#REF!/Sheet1!#REF!*Sheet1!N13,0),"")</f>
        <v/>
      </c>
      <c r="AX13" s="1" t="str">
        <f>IFERROR(ROUND(Sheet1!#REF!/Sheet1!#REF!*100,2),"")</f>
        <v/>
      </c>
      <c r="AZ13" s="1" t="str">
        <f>IFERROR(ROUND(Sheet1!#REF!/Sheet1!#REF!*Sheet1!N13,0),"")</f>
        <v/>
      </c>
      <c r="BA13" s="1" t="str">
        <f>IFERROR(ROUND(Sheet1!#REF!/Sheet1!#REF!*100,2),"")</f>
        <v/>
      </c>
      <c r="BC13" s="1" t="str">
        <f>IFERROR(ROUND(Sheet1!#REF!/Sheet1!#REF!*Sheet1!D20,0),"")</f>
        <v/>
      </c>
      <c r="BD13" s="1" t="str">
        <f>IFERROR(ROUND(Sheet1!#REF!/Sheet1!#REF!*100,2),"")</f>
        <v/>
      </c>
      <c r="BF13" s="1" t="str">
        <f>IFERROR(ROUND(Sheet1!#REF!/Sheet1!#REF!*Sheet1!D20,0),"")</f>
        <v/>
      </c>
      <c r="BG13" s="1" t="str">
        <f>IFERROR(ROUND(Sheet1!#REF!/Sheet1!#REF!*100,2),"")</f>
        <v/>
      </c>
      <c r="BI13" s="1" t="str">
        <f>IFERROR(ROUND(Sheet1!#REF!/Sheet1!#REF!*Sheet1!D20,0),"")</f>
        <v/>
      </c>
      <c r="BJ13" s="1" t="str">
        <f>IFERROR(ROUND(Sheet1!#REF!/Sheet1!#REF!*100,2),"")</f>
        <v/>
      </c>
    </row>
    <row r="14" spans="1:62">
      <c r="A14" s="2" t="str">
        <f>IF(Sheet1!B21="","",Sheet1!B21)</f>
        <v/>
      </c>
      <c r="B14" s="2" t="str">
        <f>IF(Sheet1!C21="","",Sheet1!C21)</f>
        <v/>
      </c>
      <c r="C14" s="40" t="str">
        <f>IF(Sheet1!D21="","",Sheet1!D21)</f>
        <v/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s="1" t="str">
        <f>IFERROR(ROUND(Sheet1!U21/Sheet1!T21*100,2),"")</f>
        <v/>
      </c>
      <c r="AQ14" s="1" t="str">
        <f>IFERROR(ROUND(Sheet1!W21/Sheet1!V21*Sheet1!N14,0),"")</f>
        <v/>
      </c>
      <c r="AR14" s="1" t="str">
        <f>IFERROR(ROUND(Sheet1!W21/Sheet1!V21*100,2),"")</f>
        <v/>
      </c>
      <c r="AT14" s="1" t="str">
        <f>IFERROR(ROUND(Sheet1!Y21/Sheet1!V21*Sheet1!N14,0),"")</f>
        <v/>
      </c>
      <c r="AU14" s="1" t="str">
        <f>IFERROR(ROUND(Sheet1!Y21/Sheet1!V21*100,2),"")</f>
        <v/>
      </c>
      <c r="AW14" s="1" t="str">
        <f>IFERROR(ROUND(Sheet1!X21/Sheet1!V21*Sheet1!N14,0),"")</f>
        <v/>
      </c>
      <c r="AX14" s="1" t="str">
        <f>IFERROR(ROUND(Sheet1!X21/Sheet1!V21*100,2),"")</f>
        <v/>
      </c>
      <c r="AZ14" s="1" t="str">
        <f>IFERROR(ROUND(Sheet1!Z21/Sheet1!V21*Sheet1!N14,0),"")</f>
        <v/>
      </c>
      <c r="BA14" s="1" t="str">
        <f>IFERROR(ROUND(Sheet1!Z21/Sheet1!V21*100,2),"")</f>
        <v/>
      </c>
      <c r="BC14" s="1" t="str">
        <f>IFERROR(ROUND(Sheet1!AB21/Sheet1!AA21*Sheet1!D21,0),"")</f>
        <v/>
      </c>
      <c r="BD14" s="1" t="str">
        <f>IFERROR(ROUND(Sheet1!AB21/Sheet1!AA21*100,2),"")</f>
        <v/>
      </c>
      <c r="BF14" s="1" t="str">
        <f>IFERROR(ROUND(Sheet1!AD21/Sheet1!AA21*Sheet1!D21,0),"")</f>
        <v/>
      </c>
      <c r="BG14" s="1" t="str">
        <f>IFERROR(ROUND(Sheet1!AC21/Sheet1!AA21*100,2),"")</f>
        <v/>
      </c>
      <c r="BI14" s="1" t="str">
        <f>IFERROR(ROUND(Sheet1!AC21/Sheet1!AA21*Sheet1!D21,0),"")</f>
        <v/>
      </c>
      <c r="BJ14" s="1" t="str">
        <f>IFERROR(ROUND(Sheet1!AD21/Sheet1!AA21*100,2),"")</f>
        <v/>
      </c>
    </row>
    <row r="15" spans="1:62">
      <c r="A15" s="2" t="str">
        <f>IF(Sheet1!B22="","",Sheet1!B22)</f>
        <v/>
      </c>
      <c r="B15" s="2" t="str">
        <f>IF(Sheet1!C22="","",Sheet1!C22)</f>
        <v/>
      </c>
      <c r="C15" s="40" t="str">
        <f>IF(Sheet1!D22="","",Sheet1!D22)</f>
        <v/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s="1" t="str">
        <f>IFERROR(ROUND(Sheet1!U22/Sheet1!T22*100,2),"")</f>
        <v/>
      </c>
      <c r="AQ15" s="1" t="str">
        <f>IFERROR(ROUND(Sheet1!W22/Sheet1!V22*Sheet1!N15,0),"")</f>
        <v/>
      </c>
      <c r="AR15" s="1" t="str">
        <f>IFERROR(ROUND(Sheet1!W22/Sheet1!V22*100,2),"")</f>
        <v/>
      </c>
      <c r="AT15" s="1" t="str">
        <f>IFERROR(ROUND(Sheet1!Y22/Sheet1!V22*Sheet1!N15,0),"")</f>
        <v/>
      </c>
      <c r="AU15" s="1" t="str">
        <f>IFERROR(ROUND(Sheet1!Y22/Sheet1!V22*100,2),"")</f>
        <v/>
      </c>
      <c r="AW15" s="1" t="str">
        <f>IFERROR(ROUND(Sheet1!X22/Sheet1!V22*Sheet1!N15,0),"")</f>
        <v/>
      </c>
      <c r="AX15" s="1" t="str">
        <f>IFERROR(ROUND(Sheet1!X22/Sheet1!V22*100,2),"")</f>
        <v/>
      </c>
      <c r="AZ15" s="1" t="str">
        <f>IFERROR(ROUND(Sheet1!Z22/Sheet1!V22*Sheet1!N15,0),"")</f>
        <v/>
      </c>
      <c r="BA15" s="1" t="str">
        <f>IFERROR(ROUND(Sheet1!Z22/Sheet1!V22*100,2),"")</f>
        <v/>
      </c>
      <c r="BC15" s="1" t="str">
        <f>IFERROR(ROUND(Sheet1!AB22/Sheet1!AA22*Sheet1!D22,0),"")</f>
        <v/>
      </c>
      <c r="BD15" s="1" t="str">
        <f>IFERROR(ROUND(Sheet1!AB22/Sheet1!AA22*100,2),"")</f>
        <v/>
      </c>
      <c r="BF15" s="1" t="str">
        <f>IFERROR(ROUND(Sheet1!AD22/Sheet1!AA22*Sheet1!D22,0),"")</f>
        <v/>
      </c>
      <c r="BG15" s="1" t="str">
        <f>IFERROR(ROUND(Sheet1!AC22/Sheet1!AA22*100,2),"")</f>
        <v/>
      </c>
      <c r="BI15" s="1" t="str">
        <f>IFERROR(ROUND(Sheet1!AC22/Sheet1!AA22*Sheet1!D22,0),"")</f>
        <v/>
      </c>
      <c r="BJ15" s="1" t="str">
        <f>IFERROR(ROUND(Sheet1!AD22/Sheet1!AA22*100,2),"")</f>
        <v/>
      </c>
    </row>
    <row r="16" spans="1:62">
      <c r="A16" s="2" t="str">
        <f>IF(Sheet1!B23="","",Sheet1!B23)</f>
        <v/>
      </c>
      <c r="B16" s="2" t="str">
        <f>IF(Sheet1!C23="","",Sheet1!C23)</f>
        <v/>
      </c>
      <c r="C16" s="40" t="str">
        <f>IF(Sheet1!D23="","",Sheet1!D23)</f>
        <v/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s="1" t="str">
        <f>IFERROR(ROUND(Sheet1!U23/Sheet1!T23*100,2),"")</f>
        <v/>
      </c>
      <c r="AQ16" s="1" t="str">
        <f>IFERROR(ROUND(Sheet1!W23/Sheet1!V23*Sheet1!N16,0),"")</f>
        <v/>
      </c>
      <c r="AR16" s="1" t="str">
        <f>IFERROR(ROUND(Sheet1!W23/Sheet1!V23*100,2),"")</f>
        <v/>
      </c>
      <c r="AT16" s="1" t="str">
        <f>IFERROR(ROUND(Sheet1!Y23/Sheet1!V23*Sheet1!N16,0),"")</f>
        <v/>
      </c>
      <c r="AU16" s="1" t="str">
        <f>IFERROR(ROUND(Sheet1!Y23/Sheet1!V23*100,2),"")</f>
        <v/>
      </c>
      <c r="AW16" s="1" t="str">
        <f>IFERROR(ROUND(Sheet1!X23/Sheet1!V23*Sheet1!N16,0),"")</f>
        <v/>
      </c>
      <c r="AX16" s="1" t="str">
        <f>IFERROR(ROUND(Sheet1!X23/Sheet1!V23*100,2),"")</f>
        <v/>
      </c>
      <c r="AZ16" s="1" t="str">
        <f>IFERROR(ROUND(Sheet1!Z23/Sheet1!V23*Sheet1!N16,0),"")</f>
        <v/>
      </c>
      <c r="BA16" s="1" t="str">
        <f>IFERROR(ROUND(Sheet1!Z23/Sheet1!V23*100,2),"")</f>
        <v/>
      </c>
      <c r="BC16" s="1" t="str">
        <f>IFERROR(ROUND(Sheet1!AB23/Sheet1!AA23*Sheet1!D23,0),"")</f>
        <v/>
      </c>
      <c r="BD16" s="1" t="str">
        <f>IFERROR(ROUND(Sheet1!AB23/Sheet1!AA23*100,2),"")</f>
        <v/>
      </c>
      <c r="BF16" s="1" t="str">
        <f>IFERROR(ROUND(Sheet1!AD23/Sheet1!AA23*Sheet1!D23,0),"")</f>
        <v/>
      </c>
      <c r="BG16" s="1" t="str">
        <f>IFERROR(ROUND(Sheet1!AC23/Sheet1!AA23*100,2),"")</f>
        <v/>
      </c>
      <c r="BI16" s="1" t="str">
        <f>IFERROR(ROUND(Sheet1!AC23/Sheet1!AA23*Sheet1!D23,0),"")</f>
        <v/>
      </c>
      <c r="BJ16" s="1" t="str">
        <f>IFERROR(ROUND(Sheet1!AD23/Sheet1!AA23*100,2),"")</f>
        <v/>
      </c>
    </row>
    <row r="17" spans="1:62">
      <c r="A17" s="2" t="str">
        <f>IF(Sheet1!B24="","",Sheet1!B24)</f>
        <v/>
      </c>
      <c r="B17" s="2" t="str">
        <f>IF(Sheet1!C24="","",Sheet1!C24)</f>
        <v/>
      </c>
      <c r="C17" s="40" t="str">
        <f>IF(Sheet1!D24="","",Sheet1!D24)</f>
        <v/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s="1" t="str">
        <f>IFERROR(ROUND(Sheet1!U24/Sheet1!T24*100,2),"")</f>
        <v/>
      </c>
      <c r="AQ17" s="1" t="str">
        <f>IFERROR(ROUND(Sheet1!W24/Sheet1!V24*Sheet1!N17,0),"")</f>
        <v/>
      </c>
      <c r="AR17" s="1" t="str">
        <f>IFERROR(ROUND(Sheet1!W24/Sheet1!V24*100,2),"")</f>
        <v/>
      </c>
      <c r="AT17" s="1" t="str">
        <f>IFERROR(ROUND(Sheet1!Y24/Sheet1!V24*Sheet1!N17,0),"")</f>
        <v/>
      </c>
      <c r="AU17" s="1" t="str">
        <f>IFERROR(ROUND(Sheet1!Y24/Sheet1!V24*100,2),"")</f>
        <v/>
      </c>
      <c r="AW17" s="1" t="str">
        <f>IFERROR(ROUND(Sheet1!X24/Sheet1!V24*Sheet1!N17,0),"")</f>
        <v/>
      </c>
      <c r="AX17" s="1" t="str">
        <f>IFERROR(ROUND(Sheet1!X24/Sheet1!V24*100,2),"")</f>
        <v/>
      </c>
      <c r="AZ17" s="1" t="str">
        <f>IFERROR(ROUND(Sheet1!Z24/Sheet1!V24*Sheet1!N17,0),"")</f>
        <v/>
      </c>
      <c r="BA17" s="1" t="str">
        <f>IFERROR(ROUND(Sheet1!Z24/Sheet1!V24*100,2),"")</f>
        <v/>
      </c>
      <c r="BC17" s="1" t="str">
        <f>IFERROR(ROUND(Sheet1!AB24/Sheet1!AA24*Sheet1!D24,0),"")</f>
        <v/>
      </c>
      <c r="BD17" s="1" t="str">
        <f>IFERROR(ROUND(Sheet1!AB24/Sheet1!AA24*100,2),"")</f>
        <v/>
      </c>
      <c r="BF17" s="1" t="str">
        <f>IFERROR(ROUND(Sheet1!AD24/Sheet1!AA24*Sheet1!D24,0),"")</f>
        <v/>
      </c>
      <c r="BG17" s="1" t="str">
        <f>IFERROR(ROUND(Sheet1!AC24/Sheet1!AA24*100,2),"")</f>
        <v/>
      </c>
      <c r="BI17" s="1" t="str">
        <f>IFERROR(ROUND(Sheet1!AC24/Sheet1!AA24*Sheet1!D24,0),"")</f>
        <v/>
      </c>
      <c r="BJ17" s="1" t="str">
        <f>IFERROR(ROUND(Sheet1!AD24/Sheet1!AA24*100,2),"")</f>
        <v/>
      </c>
    </row>
    <row r="18" spans="1:62">
      <c r="A18" s="2" t="str">
        <f>IF(Sheet1!B25="","",Sheet1!B25)</f>
        <v/>
      </c>
      <c r="B18" s="2" t="str">
        <f>IF(Sheet1!C25="","",Sheet1!C25)</f>
        <v/>
      </c>
      <c r="C18" s="40" t="str">
        <f>IF(Sheet1!D25="","",Sheet1!D25)</f>
        <v/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s="1" t="str">
        <f>IFERROR(ROUND(Sheet1!U25/Sheet1!T25*100,2),"")</f>
        <v/>
      </c>
      <c r="AQ18" s="1" t="str">
        <f>IFERROR(ROUND(Sheet1!W25/Sheet1!V25*Sheet1!N18,0),"")</f>
        <v/>
      </c>
      <c r="AR18" s="1" t="str">
        <f>IFERROR(ROUND(Sheet1!W25/Sheet1!V25*100,2),"")</f>
        <v/>
      </c>
      <c r="AT18" s="1" t="str">
        <f>IFERROR(ROUND(Sheet1!Y25/Sheet1!V25*Sheet1!N18,0),"")</f>
        <v/>
      </c>
      <c r="AU18" s="1" t="str">
        <f>IFERROR(ROUND(Sheet1!Y25/Sheet1!V25*100,2),"")</f>
        <v/>
      </c>
      <c r="AW18" s="1" t="str">
        <f>IFERROR(ROUND(Sheet1!X25/Sheet1!V25*Sheet1!N18,0),"")</f>
        <v/>
      </c>
      <c r="AX18" s="1" t="str">
        <f>IFERROR(ROUND(Sheet1!X25/Sheet1!V25*100,2),"")</f>
        <v/>
      </c>
      <c r="AZ18" s="1" t="str">
        <f>IFERROR(ROUND(Sheet1!Z25/Sheet1!V25*Sheet1!N18,0),"")</f>
        <v/>
      </c>
      <c r="BA18" s="1" t="str">
        <f>IFERROR(ROUND(Sheet1!Z25/Sheet1!V25*100,2),"")</f>
        <v/>
      </c>
      <c r="BC18" s="1" t="str">
        <f>IFERROR(ROUND(Sheet1!AB25/Sheet1!AA25*Sheet1!D25,0),"")</f>
        <v/>
      </c>
      <c r="BD18" s="1" t="str">
        <f>IFERROR(ROUND(Sheet1!AB25/Sheet1!AA25*100,2),"")</f>
        <v/>
      </c>
      <c r="BF18" s="1" t="str">
        <f>IFERROR(ROUND(Sheet1!AD25/Sheet1!AA25*Sheet1!D25,0),"")</f>
        <v/>
      </c>
      <c r="BG18" s="1" t="str">
        <f>IFERROR(ROUND(Sheet1!AC25/Sheet1!AA25*100,2),"")</f>
        <v/>
      </c>
      <c r="BI18" s="1" t="str">
        <f>IFERROR(ROUND(Sheet1!AC25/Sheet1!AA25*Sheet1!D25,0),"")</f>
        <v/>
      </c>
      <c r="BJ18" s="1" t="str">
        <f>IFERROR(ROUND(Sheet1!AD25/Sheet1!AA25*100,2),"")</f>
        <v/>
      </c>
    </row>
    <row r="19" spans="1:62">
      <c r="A19" s="2" t="str">
        <f>IF(Sheet1!B26="","",Sheet1!B26)</f>
        <v/>
      </c>
      <c r="B19" s="2" t="str">
        <f>IF(Sheet1!C26="","",Sheet1!C26)</f>
        <v/>
      </c>
      <c r="C19" s="40" t="str">
        <f>IF(Sheet1!D26="","",Sheet1!D26)</f>
        <v/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s="1" t="str">
        <f>IFERROR(ROUND(Sheet1!U26/Sheet1!T26*100,2),"")</f>
        <v/>
      </c>
      <c r="AQ19" s="1" t="str">
        <f>IFERROR(ROUND(Sheet1!W26/Sheet1!V26*Sheet1!N19,0),"")</f>
        <v/>
      </c>
      <c r="AR19" s="1" t="str">
        <f>IFERROR(ROUND(Sheet1!W26/Sheet1!V26*100,2),"")</f>
        <v/>
      </c>
      <c r="AT19" s="1" t="str">
        <f>IFERROR(ROUND(Sheet1!Y26/Sheet1!V26*Sheet1!N19,0),"")</f>
        <v/>
      </c>
      <c r="AU19" s="1" t="str">
        <f>IFERROR(ROUND(Sheet1!Y26/Sheet1!V26*100,2),"")</f>
        <v/>
      </c>
      <c r="AW19" s="1" t="str">
        <f>IFERROR(ROUND(Sheet1!X26/Sheet1!V26*Sheet1!N19,0),"")</f>
        <v/>
      </c>
      <c r="AX19" s="1" t="str">
        <f>IFERROR(ROUND(Sheet1!X26/Sheet1!V26*100,2),"")</f>
        <v/>
      </c>
      <c r="AZ19" s="1" t="str">
        <f>IFERROR(ROUND(Sheet1!Z26/Sheet1!V26*Sheet1!N19,0),"")</f>
        <v/>
      </c>
      <c r="BA19" s="1" t="str">
        <f>IFERROR(ROUND(Sheet1!Z26/Sheet1!V26*100,2),"")</f>
        <v/>
      </c>
      <c r="BC19" s="1" t="str">
        <f>IFERROR(ROUND(Sheet1!AB26/Sheet1!AA26*Sheet1!D26,0),"")</f>
        <v/>
      </c>
      <c r="BD19" s="1" t="str">
        <f>IFERROR(ROUND(Sheet1!AB26/Sheet1!AA26*100,2),"")</f>
        <v/>
      </c>
      <c r="BF19" s="1" t="str">
        <f>IFERROR(ROUND(Sheet1!AD26/Sheet1!AA26*Sheet1!D26,0),"")</f>
        <v/>
      </c>
      <c r="BG19" s="1" t="str">
        <f>IFERROR(ROUND(Sheet1!AC26/Sheet1!AA26*100,2),"")</f>
        <v/>
      </c>
      <c r="BI19" s="1" t="str">
        <f>IFERROR(ROUND(Sheet1!AC26/Sheet1!AA26*Sheet1!D26,0),"")</f>
        <v/>
      </c>
      <c r="BJ19" s="1" t="str">
        <f>IFERROR(ROUND(Sheet1!AD26/Sheet1!AA26*100,2),"")</f>
        <v/>
      </c>
    </row>
    <row r="20" spans="1:62">
      <c r="A20" s="2" t="str">
        <f>IF(Sheet1!B27="","",Sheet1!B27)</f>
        <v/>
      </c>
      <c r="B20" s="2" t="str">
        <f>IF(Sheet1!C27="","",Sheet1!C27)</f>
        <v/>
      </c>
      <c r="C20" s="40" t="str">
        <f>IF(Sheet1!D27="","",Sheet1!D27)</f>
        <v/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s="1" t="str">
        <f>IFERROR(ROUND(Sheet1!U27/Sheet1!T27*100,2),"")</f>
        <v/>
      </c>
      <c r="AQ20" s="1" t="str">
        <f>IFERROR(ROUND(Sheet1!W27/Sheet1!V27*Sheet1!N20,0),"")</f>
        <v/>
      </c>
      <c r="AR20" s="1" t="str">
        <f>IFERROR(ROUND(Sheet1!W27/Sheet1!V27*100,2),"")</f>
        <v/>
      </c>
      <c r="AT20" s="1" t="str">
        <f>IFERROR(ROUND(Sheet1!Y27/Sheet1!V27*Sheet1!N20,0),"")</f>
        <v/>
      </c>
      <c r="AU20" s="1" t="str">
        <f>IFERROR(ROUND(Sheet1!Y27/Sheet1!V27*100,2),"")</f>
        <v/>
      </c>
      <c r="AW20" s="1" t="str">
        <f>IFERROR(ROUND(Sheet1!X27/Sheet1!V27*Sheet1!N20,0),"")</f>
        <v/>
      </c>
      <c r="AX20" s="1" t="str">
        <f>IFERROR(ROUND(Sheet1!X27/Sheet1!V27*100,2),"")</f>
        <v/>
      </c>
      <c r="AZ20" s="1" t="str">
        <f>IFERROR(ROUND(Sheet1!Z27/Sheet1!V27*Sheet1!N20,0),"")</f>
        <v/>
      </c>
      <c r="BA20" s="1" t="str">
        <f>IFERROR(ROUND(Sheet1!Z27/Sheet1!V27*100,2),"")</f>
        <v/>
      </c>
      <c r="BC20" s="1" t="str">
        <f>IFERROR(ROUND(Sheet1!AB27/Sheet1!AA27*Sheet1!D27,0),"")</f>
        <v/>
      </c>
      <c r="BD20" s="1" t="str">
        <f>IFERROR(ROUND(Sheet1!AB27/Sheet1!AA27*100,2),"")</f>
        <v/>
      </c>
      <c r="BF20" s="1" t="str">
        <f>IFERROR(ROUND(Sheet1!AD27/Sheet1!AA27*Sheet1!D27,0),"")</f>
        <v/>
      </c>
      <c r="BG20" s="1" t="str">
        <f>IFERROR(ROUND(Sheet1!AC27/Sheet1!AA27*100,2),"")</f>
        <v/>
      </c>
      <c r="BI20" s="1" t="str">
        <f>IFERROR(ROUND(Sheet1!AC27/Sheet1!AA27*Sheet1!D27,0),"")</f>
        <v/>
      </c>
      <c r="BJ20" s="1" t="str">
        <f>IFERROR(ROUND(Sheet1!AD27/Sheet1!AA27*100,2),"")</f>
        <v/>
      </c>
    </row>
    <row r="21" spans="1:62">
      <c r="A21" s="2" t="str">
        <f>IF(Sheet1!B28="","",Sheet1!B28)</f>
        <v/>
      </c>
      <c r="B21" s="2" t="str">
        <f>IF(Sheet1!C28="","",Sheet1!C28)</f>
        <v/>
      </c>
      <c r="C21" s="40" t="str">
        <f>IF(Sheet1!D28="","",Sheet1!D28)</f>
        <v/>
      </c>
      <c r="D21" s="1" t="str">
        <f>IFERROR(ROUND(Sheet1!D28*Sheet1!F28/Sheet1!E28,2),"")</f>
        <v/>
      </c>
      <c r="E21" s="1" t="str">
        <f>IFERROR(ROUND(Sheet1!F28/Sheet1!E28*100,2),"")</f>
        <v/>
      </c>
      <c r="G21" s="1" t="str">
        <f>IFERROR(ROUND(Sheet1!D28*Sheet1!J28/Sheet1!G28,0),"")</f>
        <v/>
      </c>
      <c r="H21" s="1" t="str">
        <f>IFERROR(ROUND(Sheet1!J28/Sheet1!G28*100,2),"")</f>
        <v/>
      </c>
      <c r="J21" s="1" t="str">
        <f>IFERROR(ROUND(Sheet1!D28*Sheet1!K28/Sheet1!G28,0),"")</f>
        <v/>
      </c>
      <c r="K21" s="1" t="str">
        <f>IFERROR(ROUND(Sheet1!K28/Sheet1!G28*100,2),"")</f>
        <v/>
      </c>
      <c r="M21" s="1" t="str">
        <f>IFERROR(ROUND(Sheet1!D28*Sheet1!I28/Sheet1!G28,0),"")</f>
        <v/>
      </c>
      <c r="N21" s="1" t="str">
        <f>IFERROR(ROUND(Sheet1!I28/Sheet1!G28*100,2),"")</f>
        <v/>
      </c>
      <c r="P21" s="1" t="str">
        <f>IFERROR(ROUND(Sheet1!L28/Sheet1!H28*M21,0),"")</f>
        <v/>
      </c>
      <c r="Q21" s="1" t="str">
        <f>IFERROR(ROUND(Sheet1!L28/Sheet1!H28*100,2),"")</f>
        <v/>
      </c>
      <c r="S21" s="1" t="str">
        <f>IFERROR(ROUND(Sheet1!M28/Sheet1!H28*M21,0),"")</f>
        <v/>
      </c>
      <c r="T21" s="1" t="str">
        <f>IFERROR(ROUND(Sheet1!M28/Sheet1!H28*100,2),"")</f>
        <v/>
      </c>
      <c r="V21" s="1" t="str">
        <f>IFERROR(ROUND(Sheet1!O28/Sheet1!H28*M21,0),"")</f>
        <v/>
      </c>
      <c r="W21" s="1" t="str">
        <f>IFERROR(ROUND(Sheet1!O28/Sheet1!H28*100,2),"")</f>
        <v/>
      </c>
      <c r="AA21" s="1" t="str">
        <f>IFERROR(ROUND(Sheet1!P28/Sheet1!H28*100,2),"")</f>
        <v/>
      </c>
      <c r="AC21" s="1" t="str">
        <f>IFERROR(ROUND(Sheet1!N28/Sheet1!H28*100,2),"")</f>
        <v/>
      </c>
      <c r="AE21" s="1" t="str">
        <f>IFERROR(ROUND(Sheet1!Q28/Sheet1!H28*M21,0),"")</f>
        <v/>
      </c>
      <c r="AF21" s="1" t="str">
        <f>IFERROR(ROUND(Sheet1!Q28/Sheet1!H28*100,2),"")</f>
        <v/>
      </c>
      <c r="AH21" s="1" t="str">
        <f>IFERROR(ROUND(Sheet1!R28/Sheet1!H28*M21,0),"")</f>
        <v/>
      </c>
      <c r="AI21" s="1" t="str">
        <f>IFERROR(ROUND(Sheet1!R28/Sheet1!H28*100,2),"")</f>
        <v/>
      </c>
      <c r="AK21" s="1" t="str">
        <f t="shared" ref="AK21:AK31" si="0">IFERROR(ROUND(AF21/AI21,2),"")</f>
        <v/>
      </c>
      <c r="AL21" s="1" t="str">
        <f>IFERROR(ROUND(Sheet1!U28/Sheet1!S28*M21,0),"")</f>
        <v/>
      </c>
      <c r="AM21" s="1" t="str">
        <f>IFERROR(ROUND(Sheet1!U28/Sheet1!T28*100,2),"")</f>
        <v/>
      </c>
      <c r="AQ21" s="1" t="str">
        <f>IFERROR(ROUND(Sheet1!W28/Sheet1!V28*M21,0),"")</f>
        <v/>
      </c>
      <c r="AR21" s="1" t="str">
        <f>IFERROR(ROUND(Sheet1!W28/Sheet1!V28*100,2),"")</f>
        <v/>
      </c>
      <c r="AT21" s="1" t="str">
        <f>IFERROR(ROUND(Sheet1!Y28/Sheet1!V28*M21,0),"")</f>
        <v/>
      </c>
      <c r="AU21" s="1" t="str">
        <f>IFERROR(ROUND(Sheet1!Y28/Sheet1!V28*100,2),"")</f>
        <v/>
      </c>
      <c r="AW21" s="1" t="str">
        <f>IFERROR(ROUND(Sheet1!X28/Sheet1!V28*M21,0),"")</f>
        <v/>
      </c>
      <c r="AX21" s="1" t="str">
        <f>IFERROR(ROUND(Sheet1!X28/Sheet1!V28*100,2),"")</f>
        <v/>
      </c>
      <c r="AZ21" s="1" t="str">
        <f>IFERROR(ROUND(Sheet1!Z28/Sheet1!V28*M21,0),"")</f>
        <v/>
      </c>
      <c r="BA21" s="1" t="str">
        <f>IFERROR(ROUND(Sheet1!Z28/Sheet1!V28*100,2),"")</f>
        <v/>
      </c>
      <c r="BC21" s="1" t="str">
        <f>IFERROR(ROUND(Sheet1!AB28/Sheet1!AA28*Sheet1!D28,0),"")</f>
        <v/>
      </c>
      <c r="BD21" s="1" t="str">
        <f>IFERROR(ROUND(Sheet1!AB28/Sheet1!AA28*100,2),"")</f>
        <v/>
      </c>
      <c r="BF21" s="1" t="str">
        <f>IFERROR(ROUND(Sheet1!AD28/Sheet1!AA28*Sheet1!D28,0),"")</f>
        <v/>
      </c>
      <c r="BG21" s="1" t="str">
        <f>IFERROR(ROUND(Sheet1!AC28/Sheet1!AA28*100,2),"")</f>
        <v/>
      </c>
      <c r="BI21" s="1" t="str">
        <f>IFERROR(ROUND(Sheet1!AC28/Sheet1!AA28*Sheet1!D28,0),"")</f>
        <v/>
      </c>
      <c r="BJ21" s="1" t="str">
        <f>IFERROR(ROUND(Sheet1!AD28/Sheet1!AA28*100,2),"")</f>
        <v/>
      </c>
    </row>
    <row r="22" spans="1:62">
      <c r="A22" s="2" t="str">
        <f>IF(Sheet1!B29="","",Sheet1!B29)</f>
        <v/>
      </c>
      <c r="B22" s="2" t="str">
        <f>IF(Sheet1!C29="","",Sheet1!C29)</f>
        <v/>
      </c>
      <c r="C22" s="40" t="str">
        <f>IF(Sheet1!D29="","",Sheet1!D29)</f>
        <v/>
      </c>
      <c r="D22" s="1" t="str">
        <f>IFERROR(ROUND(Sheet1!D29*Sheet1!F29/Sheet1!E29,2),"")</f>
        <v/>
      </c>
      <c r="E22" s="1" t="str">
        <f>IFERROR(ROUND(Sheet1!F29/Sheet1!E29*100,2),"")</f>
        <v/>
      </c>
      <c r="G22" s="1" t="str">
        <f>IFERROR(ROUND(Sheet1!D29*Sheet1!J29/Sheet1!G29,0),"")</f>
        <v/>
      </c>
      <c r="H22" s="1" t="str">
        <f>IFERROR(ROUND(Sheet1!J29/Sheet1!G29*100,2),"")</f>
        <v/>
      </c>
      <c r="J22" s="1" t="str">
        <f>IFERROR(ROUND(Sheet1!D29*Sheet1!K29/Sheet1!G29,0),"")</f>
        <v/>
      </c>
      <c r="K22" s="1" t="str">
        <f>IFERROR(ROUND(Sheet1!K29/Sheet1!G29*100,2),"")</f>
        <v/>
      </c>
      <c r="M22" s="1" t="str">
        <f>IFERROR(ROUND(Sheet1!D29*Sheet1!I29/Sheet1!G29,0),"")</f>
        <v/>
      </c>
      <c r="N22" s="1" t="str">
        <f>IFERROR(ROUND(Sheet1!I29/Sheet1!G29*100,2),"")</f>
        <v/>
      </c>
      <c r="P22" s="1" t="str">
        <f>IFERROR(ROUND(Sheet1!L29/Sheet1!H29*M22,0),"")</f>
        <v/>
      </c>
      <c r="Q22" s="1" t="str">
        <f>IFERROR(ROUND(Sheet1!L29/Sheet1!H29*100,2),"")</f>
        <v/>
      </c>
      <c r="S22" s="1" t="str">
        <f>IFERROR(ROUND(Sheet1!M29/Sheet1!H29*M22,0),"")</f>
        <v/>
      </c>
      <c r="T22" s="1" t="str">
        <f>IFERROR(ROUND(Sheet1!M29/Sheet1!H29*100,2),"")</f>
        <v/>
      </c>
      <c r="V22" s="1" t="str">
        <f>IFERROR(ROUND(Sheet1!O29/Sheet1!H29*M22,0),"")</f>
        <v/>
      </c>
      <c r="W22" s="1" t="str">
        <f>IFERROR(ROUND(Sheet1!O29/Sheet1!H29*100,2),"")</f>
        <v/>
      </c>
      <c r="AA22" s="1" t="str">
        <f>IFERROR(ROUND(Sheet1!P29/Sheet1!H29*100,2),"")</f>
        <v/>
      </c>
      <c r="AC22" s="1" t="str">
        <f>IFERROR(ROUND(Sheet1!N29/Sheet1!H29*100,2),"")</f>
        <v/>
      </c>
      <c r="AE22" s="1" t="str">
        <f>IFERROR(ROUND(Sheet1!Q29/Sheet1!H29*M22,0),"")</f>
        <v/>
      </c>
      <c r="AF22" s="1" t="str">
        <f>IFERROR(ROUND(Sheet1!Q29/Sheet1!H29*100,2),"")</f>
        <v/>
      </c>
      <c r="AH22" s="1" t="str">
        <f>IFERROR(ROUND(Sheet1!R29/Sheet1!H29*M22,0),"")</f>
        <v/>
      </c>
      <c r="AI22" s="1" t="str">
        <f>IFERROR(ROUND(Sheet1!R29/Sheet1!H29*100,2),"")</f>
        <v/>
      </c>
      <c r="AK22" s="1" t="str">
        <f t="shared" si="0"/>
        <v/>
      </c>
      <c r="AL22" s="1" t="str">
        <f>IFERROR(ROUND(Sheet1!U29/Sheet1!S29*M22,0),"")</f>
        <v/>
      </c>
      <c r="AM22" s="1" t="str">
        <f>IFERROR(ROUND(Sheet1!U29/Sheet1!T29*100,2),"")</f>
        <v/>
      </c>
      <c r="AQ22" s="1" t="str">
        <f>IFERROR(ROUND(Sheet1!W29/Sheet1!V29*M22,0),"")</f>
        <v/>
      </c>
      <c r="AR22" s="1" t="str">
        <f>IFERROR(ROUND(Sheet1!W29/Sheet1!V29*100,2),"")</f>
        <v/>
      </c>
      <c r="AT22" s="1" t="str">
        <f>IFERROR(ROUND(Sheet1!Y29/Sheet1!V29*M22,0),"")</f>
        <v/>
      </c>
      <c r="AU22" s="1" t="str">
        <f>IFERROR(ROUND(Sheet1!Y29/Sheet1!V29*100,2),"")</f>
        <v/>
      </c>
      <c r="AW22" s="1" t="str">
        <f>IFERROR(ROUND(Sheet1!X29/Sheet1!V29*M22,0),"")</f>
        <v/>
      </c>
      <c r="AX22" s="1" t="str">
        <f>IFERROR(ROUND(Sheet1!X29/Sheet1!V29*100,2),"")</f>
        <v/>
      </c>
      <c r="AZ22" s="1" t="str">
        <f>IFERROR(ROUND(Sheet1!Z29/Sheet1!V29*M22,0),"")</f>
        <v/>
      </c>
      <c r="BA22" s="1" t="str">
        <f>IFERROR(ROUND(Sheet1!Z29/Sheet1!V29*100,2),"")</f>
        <v/>
      </c>
      <c r="BC22" s="1" t="str">
        <f>IFERROR(ROUND(Sheet1!AB29/Sheet1!AA29*Sheet1!D29,0),"")</f>
        <v/>
      </c>
      <c r="BD22" s="1" t="str">
        <f>IFERROR(ROUND(Sheet1!AB29/Sheet1!AA29*100,2),"")</f>
        <v/>
      </c>
      <c r="BF22" s="1" t="str">
        <f>IFERROR(ROUND(Sheet1!AD29/Sheet1!AA29*Sheet1!D29,0),"")</f>
        <v/>
      </c>
      <c r="BG22" s="1" t="str">
        <f>IFERROR(ROUND(Sheet1!AC29/Sheet1!AA29*100,2),"")</f>
        <v/>
      </c>
      <c r="BI22" s="1" t="str">
        <f>IFERROR(ROUND(Sheet1!AC29/Sheet1!AA29*Sheet1!D29,0),"")</f>
        <v/>
      </c>
      <c r="BJ22" s="1" t="str">
        <f>IFERROR(ROUND(Sheet1!AD29/Sheet1!AA29*100,2),"")</f>
        <v/>
      </c>
    </row>
    <row r="23" spans="1:62">
      <c r="A23" s="2" t="str">
        <f>IF(Sheet1!B30="","",Sheet1!B30)</f>
        <v/>
      </c>
      <c r="B23" s="2" t="str">
        <f>IF(Sheet1!C30="","",Sheet1!C30)</f>
        <v/>
      </c>
      <c r="C23" s="40" t="str">
        <f>IF(Sheet1!D30="","",Sheet1!D30)</f>
        <v/>
      </c>
      <c r="D23" s="1" t="str">
        <f>IFERROR(ROUND(Sheet1!D30*Sheet1!F30/Sheet1!E30,2),"")</f>
        <v/>
      </c>
      <c r="E23" s="1" t="str">
        <f>IFERROR(ROUND(Sheet1!F30/Sheet1!E30*100,2),"")</f>
        <v/>
      </c>
      <c r="G23" s="1" t="str">
        <f>IFERROR(ROUND(Sheet1!D30*Sheet1!J30/Sheet1!G30,0),"")</f>
        <v/>
      </c>
      <c r="H23" s="1" t="str">
        <f>IFERROR(ROUND(Sheet1!J30/Sheet1!G30*100,2),"")</f>
        <v/>
      </c>
      <c r="J23" s="1" t="str">
        <f>IFERROR(ROUND(Sheet1!D30*Sheet1!K30/Sheet1!G30,0),"")</f>
        <v/>
      </c>
      <c r="K23" s="1" t="str">
        <f>IFERROR(ROUND(Sheet1!K30/Sheet1!G30*100,2),"")</f>
        <v/>
      </c>
      <c r="M23" s="1" t="str">
        <f>IFERROR(ROUND(Sheet1!D30*Sheet1!I30/Sheet1!G30,0),"")</f>
        <v/>
      </c>
      <c r="N23" s="1" t="str">
        <f>IFERROR(ROUND(Sheet1!I30/Sheet1!G30*100,2),"")</f>
        <v/>
      </c>
      <c r="P23" s="1" t="str">
        <f>IFERROR(ROUND(Sheet1!L30/Sheet1!H30*M23,0),"")</f>
        <v/>
      </c>
      <c r="Q23" s="1" t="str">
        <f>IFERROR(ROUND(Sheet1!L30/Sheet1!H30*100,2),"")</f>
        <v/>
      </c>
      <c r="S23" s="1" t="str">
        <f>IFERROR(ROUND(Sheet1!M30/Sheet1!H30*M23,0),"")</f>
        <v/>
      </c>
      <c r="T23" s="1" t="str">
        <f>IFERROR(ROUND(Sheet1!M30/Sheet1!H30*100,2),"")</f>
        <v/>
      </c>
      <c r="V23" s="1" t="str">
        <f>IFERROR(ROUND(Sheet1!O30/Sheet1!H30*M23,0),"")</f>
        <v/>
      </c>
      <c r="W23" s="1" t="str">
        <f>IFERROR(ROUND(Sheet1!O30/Sheet1!H30*100,2),"")</f>
        <v/>
      </c>
      <c r="AA23" s="1" t="str">
        <f>IFERROR(ROUND(Sheet1!P30/Sheet1!H30*100,2),"")</f>
        <v/>
      </c>
      <c r="AC23" s="1" t="str">
        <f>IFERROR(ROUND(Sheet1!N30/Sheet1!H30*100,2),"")</f>
        <v/>
      </c>
      <c r="AE23" s="1" t="str">
        <f>IFERROR(ROUND(Sheet1!Q30/Sheet1!H30*M23,0),"")</f>
        <v/>
      </c>
      <c r="AF23" s="1" t="str">
        <f>IFERROR(ROUND(Sheet1!Q30/Sheet1!H30*100,2),"")</f>
        <v/>
      </c>
      <c r="AH23" s="1" t="str">
        <f>IFERROR(ROUND(Sheet1!R30/Sheet1!H30*M23,0),"")</f>
        <v/>
      </c>
      <c r="AI23" s="1" t="str">
        <f>IFERROR(ROUND(Sheet1!R30/Sheet1!H30*100,2),"")</f>
        <v/>
      </c>
      <c r="AK23" s="1" t="str">
        <f t="shared" si="0"/>
        <v/>
      </c>
      <c r="AL23" s="1" t="str">
        <f>IFERROR(ROUND(Sheet1!U30/Sheet1!S30*M23,0),"")</f>
        <v/>
      </c>
      <c r="AM23" s="1" t="str">
        <f>IFERROR(ROUND(Sheet1!U30/Sheet1!T30*100,2),"")</f>
        <v/>
      </c>
      <c r="AQ23" s="1" t="str">
        <f>IFERROR(ROUND(Sheet1!W30/Sheet1!V30*M23,0),"")</f>
        <v/>
      </c>
      <c r="AR23" s="1" t="str">
        <f>IFERROR(ROUND(Sheet1!W30/Sheet1!V30*100,2),"")</f>
        <v/>
      </c>
      <c r="AT23" s="1" t="str">
        <f>IFERROR(ROUND(Sheet1!Y30/Sheet1!V30*M23,0),"")</f>
        <v/>
      </c>
      <c r="AU23" s="1" t="str">
        <f>IFERROR(ROUND(Sheet1!Y30/Sheet1!V30*100,2),"")</f>
        <v/>
      </c>
      <c r="AW23" s="1" t="str">
        <f>IFERROR(ROUND(Sheet1!X30/Sheet1!V30*M23,0),"")</f>
        <v/>
      </c>
      <c r="AX23" s="1" t="str">
        <f>IFERROR(ROUND(Sheet1!X30/Sheet1!V30*100,2),"")</f>
        <v/>
      </c>
      <c r="AZ23" s="1" t="str">
        <f>IFERROR(ROUND(Sheet1!Z30/Sheet1!V30*M23,0),"")</f>
        <v/>
      </c>
      <c r="BA23" s="1" t="str">
        <f>IFERROR(ROUND(Sheet1!Z30/Sheet1!V30*100,2),"")</f>
        <v/>
      </c>
      <c r="BC23" s="1" t="str">
        <f>IFERROR(ROUND(Sheet1!AB30/Sheet1!AA30*Sheet1!D30,0),"")</f>
        <v/>
      </c>
      <c r="BD23" s="1" t="str">
        <f>IFERROR(ROUND(Sheet1!AB30/Sheet1!AA30*100,2),"")</f>
        <v/>
      </c>
      <c r="BF23" s="1" t="str">
        <f>IFERROR(ROUND(Sheet1!AD30/Sheet1!AA30*Sheet1!D30,0),"")</f>
        <v/>
      </c>
      <c r="BG23" s="1" t="str">
        <f>IFERROR(ROUND(Sheet1!AC30/Sheet1!AA30*100,2),"")</f>
        <v/>
      </c>
      <c r="BI23" s="1" t="str">
        <f>IFERROR(ROUND(Sheet1!AC30/Sheet1!AA30*Sheet1!D30,0),"")</f>
        <v/>
      </c>
      <c r="BJ23" s="1" t="str">
        <f>IFERROR(ROUND(Sheet1!AD30/Sheet1!AA30*100,2),"")</f>
        <v/>
      </c>
    </row>
    <row r="24" spans="1:62">
      <c r="A24" s="2" t="str">
        <f>IF(Sheet1!B31="","",Sheet1!B31)</f>
        <v/>
      </c>
      <c r="B24" s="2" t="str">
        <f>IF(Sheet1!C31="","",Sheet1!C31)</f>
        <v/>
      </c>
      <c r="C24" s="40" t="str">
        <f>IF(Sheet1!D31="","",Sheet1!D31)</f>
        <v/>
      </c>
      <c r="D24" s="1" t="str">
        <f>IFERROR(ROUND(Sheet1!D31*Sheet1!F31/Sheet1!E31,2),"")</f>
        <v/>
      </c>
      <c r="E24" s="1" t="str">
        <f>IFERROR(ROUND(Sheet1!F31/Sheet1!E31*100,2),"")</f>
        <v/>
      </c>
      <c r="G24" s="1" t="str">
        <f>IFERROR(ROUND(Sheet1!D31*Sheet1!J31/Sheet1!G31,0),"")</f>
        <v/>
      </c>
      <c r="H24" s="1" t="str">
        <f>IFERROR(ROUND(Sheet1!J31/Sheet1!G31*100,2),"")</f>
        <v/>
      </c>
      <c r="J24" s="1" t="str">
        <f>IFERROR(ROUND(Sheet1!D31*Sheet1!K31/Sheet1!G31,0),"")</f>
        <v/>
      </c>
      <c r="K24" s="1" t="str">
        <f>IFERROR(ROUND(Sheet1!K31/Sheet1!G31*100,2),"")</f>
        <v/>
      </c>
      <c r="M24" s="1" t="str">
        <f>IFERROR(ROUND(Sheet1!D31*Sheet1!I31/Sheet1!G31,0),"")</f>
        <v/>
      </c>
      <c r="N24" s="1" t="str">
        <f>IFERROR(ROUND(Sheet1!I31/Sheet1!G31*100,2),"")</f>
        <v/>
      </c>
      <c r="P24" s="1" t="str">
        <f>IFERROR(ROUND(Sheet1!L31/Sheet1!H31*M24,0),"")</f>
        <v/>
      </c>
      <c r="Q24" s="1" t="str">
        <f>IFERROR(ROUND(Sheet1!L31/Sheet1!H31*100,2),"")</f>
        <v/>
      </c>
      <c r="S24" s="1" t="str">
        <f>IFERROR(ROUND(Sheet1!M31/Sheet1!H31*M24,0),"")</f>
        <v/>
      </c>
      <c r="T24" s="1" t="str">
        <f>IFERROR(ROUND(Sheet1!M31/Sheet1!H31*100,2),"")</f>
        <v/>
      </c>
      <c r="V24" s="1" t="str">
        <f>IFERROR(ROUND(Sheet1!O31/Sheet1!H31*M24,0),"")</f>
        <v/>
      </c>
      <c r="W24" s="1" t="str">
        <f>IFERROR(ROUND(Sheet1!O31/Sheet1!H31*100,2),"")</f>
        <v/>
      </c>
      <c r="AA24" s="1" t="str">
        <f>IFERROR(ROUND(Sheet1!P31/Sheet1!H31*100,2),"")</f>
        <v/>
      </c>
      <c r="AC24" s="1" t="str">
        <f>IFERROR(ROUND(Sheet1!N31/Sheet1!H31*100,2),"")</f>
        <v/>
      </c>
      <c r="AE24" s="1" t="str">
        <f>IFERROR(ROUND(Sheet1!Q31/Sheet1!H31*M24,0),"")</f>
        <v/>
      </c>
      <c r="AF24" s="1" t="str">
        <f>IFERROR(ROUND(Sheet1!Q31/Sheet1!H31*100,2),"")</f>
        <v/>
      </c>
      <c r="AH24" s="1" t="str">
        <f>IFERROR(ROUND(Sheet1!R31/Sheet1!H31*M24,0),"")</f>
        <v/>
      </c>
      <c r="AI24" s="1" t="str">
        <f>IFERROR(ROUND(Sheet1!R31/Sheet1!H31*100,2),"")</f>
        <v/>
      </c>
      <c r="AK24" s="1" t="str">
        <f t="shared" si="0"/>
        <v/>
      </c>
      <c r="AL24" s="1" t="str">
        <f>IFERROR(ROUND(Sheet1!U31/Sheet1!S31*M24,0),"")</f>
        <v/>
      </c>
      <c r="AM24" s="1" t="str">
        <f>IFERROR(ROUND(Sheet1!U31/Sheet1!T31*100,2),"")</f>
        <v/>
      </c>
      <c r="AQ24" s="1" t="str">
        <f>IFERROR(ROUND(Sheet1!W31/Sheet1!V31*M24,0),"")</f>
        <v/>
      </c>
      <c r="AR24" s="1" t="str">
        <f>IFERROR(ROUND(Sheet1!W31/Sheet1!V31*100,2),"")</f>
        <v/>
      </c>
      <c r="AT24" s="1" t="str">
        <f>IFERROR(ROUND(Sheet1!Y31/Sheet1!V31*M24,0),"")</f>
        <v/>
      </c>
      <c r="AU24" s="1" t="str">
        <f>IFERROR(ROUND(Sheet1!Y31/Sheet1!V31*100,2),"")</f>
        <v/>
      </c>
      <c r="AW24" s="1" t="str">
        <f>IFERROR(ROUND(Sheet1!X31/Sheet1!V31*M24,0),"")</f>
        <v/>
      </c>
      <c r="AX24" s="1" t="str">
        <f>IFERROR(ROUND(Sheet1!X31/Sheet1!V31*100,2),"")</f>
        <v/>
      </c>
      <c r="AZ24" s="1" t="str">
        <f>IFERROR(ROUND(Sheet1!Z31/Sheet1!V31*M24,0),"")</f>
        <v/>
      </c>
      <c r="BA24" s="1" t="str">
        <f>IFERROR(ROUND(Sheet1!Z31/Sheet1!V31*100,2),"")</f>
        <v/>
      </c>
      <c r="BC24" s="1" t="str">
        <f>IFERROR(ROUND(Sheet1!AB31/Sheet1!AA31*Sheet1!D31,0),"")</f>
        <v/>
      </c>
      <c r="BD24" s="1" t="str">
        <f>IFERROR(ROUND(Sheet1!AB31/Sheet1!AA31*100,2),"")</f>
        <v/>
      </c>
      <c r="BF24" s="1" t="str">
        <f>IFERROR(ROUND(Sheet1!AD31/Sheet1!AA31*Sheet1!D31,0),"")</f>
        <v/>
      </c>
      <c r="BG24" s="1" t="str">
        <f>IFERROR(ROUND(Sheet1!AC31/Sheet1!AA31*100,2),"")</f>
        <v/>
      </c>
      <c r="BI24" s="1" t="str">
        <f>IFERROR(ROUND(Sheet1!AC31/Sheet1!AA31*Sheet1!D31,0),"")</f>
        <v/>
      </c>
      <c r="BJ24" s="1" t="str">
        <f>IFERROR(ROUND(Sheet1!AD31/Sheet1!AA31*100,2),"")</f>
        <v/>
      </c>
    </row>
    <row r="25" spans="1:62">
      <c r="A25" s="2" t="str">
        <f>IF(Sheet1!B32="","",Sheet1!B32)</f>
        <v/>
      </c>
      <c r="B25" s="2" t="str">
        <f>IF(Sheet1!C32="","",Sheet1!C32)</f>
        <v/>
      </c>
      <c r="C25" s="40" t="str">
        <f>IF(Sheet1!D32="","",Sheet1!D32)</f>
        <v/>
      </c>
      <c r="D25" s="1" t="str">
        <f>IFERROR(ROUND(Sheet1!D32*Sheet1!F32/Sheet1!E32,2),"")</f>
        <v/>
      </c>
      <c r="E25" s="1" t="str">
        <f>IFERROR(ROUND(Sheet1!F32/Sheet1!E32*100,2),"")</f>
        <v/>
      </c>
      <c r="G25" s="1" t="str">
        <f>IFERROR(ROUND(Sheet1!D32*Sheet1!J32/Sheet1!G32,0),"")</f>
        <v/>
      </c>
      <c r="H25" s="1" t="str">
        <f>IFERROR(ROUND(Sheet1!J32/Sheet1!G32*100,2),"")</f>
        <v/>
      </c>
      <c r="J25" s="1" t="str">
        <f>IFERROR(ROUND(Sheet1!D32*Sheet1!K32/Sheet1!G32,0),"")</f>
        <v/>
      </c>
      <c r="K25" s="1" t="str">
        <f>IFERROR(ROUND(Sheet1!K32/Sheet1!G32*100,2),"")</f>
        <v/>
      </c>
      <c r="M25" s="1" t="str">
        <f>IFERROR(ROUND(Sheet1!D32*Sheet1!I32/Sheet1!G32,0),"")</f>
        <v/>
      </c>
      <c r="N25" s="1" t="str">
        <f>IFERROR(ROUND(Sheet1!I32/Sheet1!G32*100,2),"")</f>
        <v/>
      </c>
      <c r="P25" s="1" t="str">
        <f>IFERROR(ROUND(Sheet1!L32/Sheet1!H32*M25,0),"")</f>
        <v/>
      </c>
      <c r="Q25" s="1" t="str">
        <f>IFERROR(ROUND(Sheet1!L32/Sheet1!H32*100,2),"")</f>
        <v/>
      </c>
      <c r="S25" s="1" t="str">
        <f>IFERROR(ROUND(Sheet1!M32/Sheet1!H32*M25,0),"")</f>
        <v/>
      </c>
      <c r="T25" s="1" t="str">
        <f>IFERROR(ROUND(Sheet1!M32/Sheet1!H32*100,2),"")</f>
        <v/>
      </c>
      <c r="V25" s="1" t="str">
        <f>IFERROR(ROUND(Sheet1!O32/Sheet1!H32*M25,0),"")</f>
        <v/>
      </c>
      <c r="W25" s="1" t="str">
        <f>IFERROR(ROUND(Sheet1!O32/Sheet1!H32*100,2),"")</f>
        <v/>
      </c>
      <c r="AA25" s="1" t="str">
        <f>IFERROR(ROUND(Sheet1!P32/Sheet1!H32*100,2),"")</f>
        <v/>
      </c>
      <c r="AC25" s="1" t="str">
        <f>IFERROR(ROUND(Sheet1!N32/Sheet1!H32*100,2),"")</f>
        <v/>
      </c>
      <c r="AE25" s="1" t="str">
        <f>IFERROR(ROUND(Sheet1!Q32/Sheet1!H32*M25,0),"")</f>
        <v/>
      </c>
      <c r="AF25" s="1" t="str">
        <f>IFERROR(ROUND(Sheet1!Q32/Sheet1!H32*100,2),"")</f>
        <v/>
      </c>
      <c r="AH25" s="1" t="str">
        <f>IFERROR(ROUND(Sheet1!R32/Sheet1!H32*M25,0),"")</f>
        <v/>
      </c>
      <c r="AI25" s="1" t="str">
        <f>IFERROR(ROUND(Sheet1!R32/Sheet1!H32*100,2),"")</f>
        <v/>
      </c>
      <c r="AK25" s="1" t="str">
        <f t="shared" si="0"/>
        <v/>
      </c>
      <c r="AL25" s="1" t="str">
        <f>IFERROR(ROUND(Sheet1!U32/Sheet1!S32*M25,0),"")</f>
        <v/>
      </c>
      <c r="AM25" s="1" t="str">
        <f>IFERROR(ROUND(Sheet1!U32/Sheet1!T32*100,2),"")</f>
        <v/>
      </c>
      <c r="AQ25" s="1" t="str">
        <f>IFERROR(ROUND(Sheet1!W32/Sheet1!V32*M25,0),"")</f>
        <v/>
      </c>
      <c r="AR25" s="1" t="str">
        <f>IFERROR(ROUND(Sheet1!W32/Sheet1!V32*100,2),"")</f>
        <v/>
      </c>
      <c r="AT25" s="1" t="str">
        <f>IFERROR(ROUND(Sheet1!Y32/Sheet1!V32*M25,0),"")</f>
        <v/>
      </c>
      <c r="AU25" s="1" t="str">
        <f>IFERROR(ROUND(Sheet1!Y32/Sheet1!V32*100,2),"")</f>
        <v/>
      </c>
      <c r="AW25" s="1" t="str">
        <f>IFERROR(ROUND(Sheet1!X32/Sheet1!V32*M25,0),"")</f>
        <v/>
      </c>
      <c r="AX25" s="1" t="str">
        <f>IFERROR(ROUND(Sheet1!X32/Sheet1!V32*100,2),"")</f>
        <v/>
      </c>
      <c r="AZ25" s="1" t="str">
        <f>IFERROR(ROUND(Sheet1!Z32/Sheet1!V32*M25,0),"")</f>
        <v/>
      </c>
      <c r="BA25" s="1" t="str">
        <f>IFERROR(ROUND(Sheet1!Z32/Sheet1!V32*100,2),"")</f>
        <v/>
      </c>
      <c r="BC25" s="1" t="str">
        <f>IFERROR(ROUND(Sheet1!AB32/Sheet1!AA32*Sheet1!D32,0),"")</f>
        <v/>
      </c>
      <c r="BD25" s="1" t="str">
        <f>IFERROR(ROUND(Sheet1!AB32/Sheet1!AA32*100,2),"")</f>
        <v/>
      </c>
      <c r="BF25" s="1" t="str">
        <f>IFERROR(ROUND(Sheet1!AD32/Sheet1!AA32*Sheet1!D32,0),"")</f>
        <v/>
      </c>
      <c r="BG25" s="1" t="str">
        <f>IFERROR(ROUND(Sheet1!AC32/Sheet1!AA32*100,2),"")</f>
        <v/>
      </c>
      <c r="BI25" s="1" t="str">
        <f>IFERROR(ROUND(Sheet1!AC32/Sheet1!AA32*Sheet1!D32,0),"")</f>
        <v/>
      </c>
      <c r="BJ25" s="1" t="str">
        <f>IFERROR(ROUND(Sheet1!AD32/Sheet1!AA32*100,2),"")</f>
        <v/>
      </c>
    </row>
    <row r="26" spans="1:62">
      <c r="A26" s="2" t="str">
        <f>IF(Sheet1!B33="","",Sheet1!B33)</f>
        <v/>
      </c>
      <c r="B26" s="2" t="str">
        <f>IF(Sheet1!C33="","",Sheet1!C33)</f>
        <v/>
      </c>
      <c r="C26" s="40" t="str">
        <f>IF(Sheet1!D33="","",Sheet1!D33)</f>
        <v/>
      </c>
      <c r="D26" s="1" t="str">
        <f>IFERROR(ROUND(Sheet1!D33*Sheet1!F33/Sheet1!E33,2),"")</f>
        <v/>
      </c>
      <c r="E26" s="1" t="str">
        <f>IFERROR(ROUND(Sheet1!F33/Sheet1!E33*100,2),"")</f>
        <v/>
      </c>
      <c r="G26" s="1" t="str">
        <f>IFERROR(ROUND(Sheet1!D33*Sheet1!J33/Sheet1!G33,0),"")</f>
        <v/>
      </c>
      <c r="H26" s="1" t="str">
        <f>IFERROR(ROUND(Sheet1!J33/Sheet1!G33*100,2),"")</f>
        <v/>
      </c>
      <c r="J26" s="1" t="str">
        <f>IFERROR(ROUND(Sheet1!D33*Sheet1!K33/Sheet1!G33,0),"")</f>
        <v/>
      </c>
      <c r="K26" s="1" t="str">
        <f>IFERROR(ROUND(Sheet1!K33/Sheet1!G33*100,2),"")</f>
        <v/>
      </c>
      <c r="M26" s="1" t="str">
        <f>IFERROR(ROUND(Sheet1!D33*Sheet1!I33/Sheet1!G33,0),"")</f>
        <v/>
      </c>
      <c r="N26" s="1" t="str">
        <f>IFERROR(ROUND(Sheet1!I33/Sheet1!G33*100,2),"")</f>
        <v/>
      </c>
      <c r="P26" s="1" t="str">
        <f>IFERROR(ROUND(Sheet1!L33/Sheet1!H33*M26,0),"")</f>
        <v/>
      </c>
      <c r="Q26" s="1" t="str">
        <f>IFERROR(ROUND(Sheet1!L33/Sheet1!H33*100,2),"")</f>
        <v/>
      </c>
      <c r="S26" s="1" t="str">
        <f>IFERROR(ROUND(Sheet1!M33/Sheet1!H33*M26,0),"")</f>
        <v/>
      </c>
      <c r="T26" s="1" t="str">
        <f>IFERROR(ROUND(Sheet1!M33/Sheet1!H33*100,2),"")</f>
        <v/>
      </c>
      <c r="V26" s="1" t="str">
        <f>IFERROR(ROUND(Sheet1!O33/Sheet1!H33*M26,0),"")</f>
        <v/>
      </c>
      <c r="W26" s="1" t="str">
        <f>IFERROR(ROUND(Sheet1!O33/Sheet1!H33*100,2),"")</f>
        <v/>
      </c>
      <c r="AA26" s="1" t="str">
        <f>IFERROR(ROUND(Sheet1!P33/Sheet1!H33*100,2),"")</f>
        <v/>
      </c>
      <c r="AC26" s="1" t="str">
        <f>IFERROR(ROUND(Sheet1!N33/Sheet1!H33*100,2),"")</f>
        <v/>
      </c>
      <c r="AE26" s="1" t="str">
        <f>IFERROR(ROUND(Sheet1!Q33/Sheet1!H33*M26,0),"")</f>
        <v/>
      </c>
      <c r="AF26" s="1" t="str">
        <f>IFERROR(ROUND(Sheet1!Q33/Sheet1!H33*100,2),"")</f>
        <v/>
      </c>
      <c r="AH26" s="1" t="str">
        <f>IFERROR(ROUND(Sheet1!R33/Sheet1!H33*M26,0),"")</f>
        <v/>
      </c>
      <c r="AI26" s="1" t="str">
        <f>IFERROR(ROUND(Sheet1!R33/Sheet1!H33*100,2),"")</f>
        <v/>
      </c>
      <c r="AK26" s="1" t="str">
        <f t="shared" si="0"/>
        <v/>
      </c>
      <c r="AL26" s="1" t="str">
        <f>IFERROR(ROUND(Sheet1!U33/Sheet1!S33*M26,0),"")</f>
        <v/>
      </c>
      <c r="AM26" s="1" t="str">
        <f>IFERROR(ROUND(Sheet1!U33/Sheet1!T33*100,2),"")</f>
        <v/>
      </c>
      <c r="AQ26" s="1" t="str">
        <f>IFERROR(ROUND(Sheet1!W33/Sheet1!V33*M26,0),"")</f>
        <v/>
      </c>
      <c r="AR26" s="1" t="str">
        <f>IFERROR(ROUND(Sheet1!W33/Sheet1!V33*100,2),"")</f>
        <v/>
      </c>
      <c r="AT26" s="1" t="str">
        <f>IFERROR(ROUND(Sheet1!Y33/Sheet1!V33*M26,0),"")</f>
        <v/>
      </c>
      <c r="AU26" s="1" t="str">
        <f>IFERROR(ROUND(Sheet1!Y33/Sheet1!V33*100,2),"")</f>
        <v/>
      </c>
      <c r="AW26" s="1" t="str">
        <f>IFERROR(ROUND(Sheet1!X33/Sheet1!V33*M26,0),"")</f>
        <v/>
      </c>
      <c r="AX26" s="1" t="str">
        <f>IFERROR(ROUND(Sheet1!X33/Sheet1!V33*100,2),"")</f>
        <v/>
      </c>
      <c r="AZ26" s="1" t="str">
        <f>IFERROR(ROUND(Sheet1!Z33/Sheet1!V33*M26,0),"")</f>
        <v/>
      </c>
      <c r="BA26" s="1" t="str">
        <f>IFERROR(ROUND(Sheet1!Z33/Sheet1!V33*100,2),"")</f>
        <v/>
      </c>
      <c r="BC26" s="1" t="str">
        <f>IFERROR(ROUND(Sheet1!AB33/Sheet1!AA33*Sheet1!D33,0),"")</f>
        <v/>
      </c>
      <c r="BD26" s="1" t="str">
        <f>IFERROR(ROUND(Sheet1!AB33/Sheet1!AA33*100,2),"")</f>
        <v/>
      </c>
      <c r="BF26" s="1" t="str">
        <f>IFERROR(ROUND(Sheet1!AD33/Sheet1!AA33*Sheet1!D33,0),"")</f>
        <v/>
      </c>
      <c r="BG26" s="1" t="str">
        <f>IFERROR(ROUND(Sheet1!AC33/Sheet1!AA33*100,2),"")</f>
        <v/>
      </c>
      <c r="BI26" s="1" t="str">
        <f>IFERROR(ROUND(Sheet1!AC33/Sheet1!AA33*Sheet1!D33,0),"")</f>
        <v/>
      </c>
      <c r="BJ26" s="1" t="str">
        <f>IFERROR(ROUND(Sheet1!AD33/Sheet1!AA33*100,2),"")</f>
        <v/>
      </c>
    </row>
    <row r="27" spans="1:62">
      <c r="A27" s="2" t="str">
        <f>IF(Sheet1!B34="","",Sheet1!B34)</f>
        <v/>
      </c>
      <c r="B27" s="2" t="str">
        <f>IF(Sheet1!C34="","",Sheet1!C34)</f>
        <v/>
      </c>
      <c r="C27" s="40" t="str">
        <f>IF(Sheet1!D34="","",Sheet1!D34)</f>
        <v/>
      </c>
      <c r="D27" s="1" t="str">
        <f>IFERROR(ROUND(Sheet1!D34*Sheet1!F34/Sheet1!E34,2),"")</f>
        <v/>
      </c>
      <c r="E27" s="1" t="str">
        <f>IFERROR(ROUND(Sheet1!F34/Sheet1!E34*100,2),"")</f>
        <v/>
      </c>
      <c r="G27" s="1" t="str">
        <f>IFERROR(ROUND(Sheet1!D34*Sheet1!J34/Sheet1!G34,0),"")</f>
        <v/>
      </c>
      <c r="H27" s="1" t="str">
        <f>IFERROR(ROUND(Sheet1!J34/Sheet1!G34*100,2),"")</f>
        <v/>
      </c>
      <c r="J27" s="1" t="str">
        <f>IFERROR(ROUND(Sheet1!D34*Sheet1!K34/Sheet1!G34,0),"")</f>
        <v/>
      </c>
      <c r="K27" s="1" t="str">
        <f>IFERROR(ROUND(Sheet1!K34/Sheet1!G34*100,2),"")</f>
        <v/>
      </c>
      <c r="M27" s="1" t="str">
        <f>IFERROR(ROUND(Sheet1!D34*Sheet1!I34/Sheet1!G34,0),"")</f>
        <v/>
      </c>
      <c r="N27" s="1" t="str">
        <f>IFERROR(ROUND(Sheet1!I34/Sheet1!G34*100,2),"")</f>
        <v/>
      </c>
      <c r="P27" s="1" t="str">
        <f>IFERROR(ROUND(Sheet1!L34/Sheet1!H34*M27,0),"")</f>
        <v/>
      </c>
      <c r="Q27" s="1" t="str">
        <f>IFERROR(ROUND(Sheet1!L34/Sheet1!H34*100,2),"")</f>
        <v/>
      </c>
      <c r="S27" s="1" t="str">
        <f>IFERROR(ROUND(Sheet1!M34/Sheet1!H34*M27,0),"")</f>
        <v/>
      </c>
      <c r="T27" s="1" t="str">
        <f>IFERROR(ROUND(Sheet1!M34/Sheet1!H34*100,2),"")</f>
        <v/>
      </c>
      <c r="V27" s="1" t="str">
        <f>IFERROR(ROUND(Sheet1!O34/Sheet1!H34*M27,0),"")</f>
        <v/>
      </c>
      <c r="W27" s="1" t="str">
        <f>IFERROR(ROUND(Sheet1!O34/Sheet1!H34*100,2),"")</f>
        <v/>
      </c>
      <c r="AA27" s="1" t="str">
        <f>IFERROR(ROUND(Sheet1!P34/Sheet1!H34*100,2),"")</f>
        <v/>
      </c>
      <c r="AC27" s="1" t="str">
        <f>IFERROR(ROUND(Sheet1!N34/Sheet1!H34*100,2),"")</f>
        <v/>
      </c>
      <c r="AE27" s="1" t="str">
        <f>IFERROR(ROUND(Sheet1!Q34/Sheet1!H34*M27,0),"")</f>
        <v/>
      </c>
      <c r="AF27" s="1" t="str">
        <f>IFERROR(ROUND(Sheet1!Q34/Sheet1!H34*100,2),"")</f>
        <v/>
      </c>
      <c r="AH27" s="1" t="str">
        <f>IFERROR(ROUND(Sheet1!R34/Sheet1!H34*M27,0),"")</f>
        <v/>
      </c>
      <c r="AI27" s="1" t="str">
        <f>IFERROR(ROUND(Sheet1!R34/Sheet1!H34*100,2),"")</f>
        <v/>
      </c>
      <c r="AK27" s="1" t="str">
        <f t="shared" si="0"/>
        <v/>
      </c>
      <c r="AL27" s="1" t="str">
        <f>IFERROR(ROUND(Sheet1!U34/Sheet1!S34*M27,0),"")</f>
        <v/>
      </c>
      <c r="AM27" s="1" t="str">
        <f>IFERROR(ROUND(Sheet1!U34/Sheet1!T34*100,2),"")</f>
        <v/>
      </c>
      <c r="AQ27" s="1" t="str">
        <f>IFERROR(ROUND(Sheet1!W34/Sheet1!V34*M27,0),"")</f>
        <v/>
      </c>
      <c r="AR27" s="1" t="str">
        <f>IFERROR(ROUND(Sheet1!W34/Sheet1!V34*100,2),"")</f>
        <v/>
      </c>
      <c r="AT27" s="1" t="str">
        <f>IFERROR(ROUND(Sheet1!Y34/Sheet1!V34*M27,0),"")</f>
        <v/>
      </c>
      <c r="AU27" s="1" t="str">
        <f>IFERROR(ROUND(Sheet1!Y34/Sheet1!V34*100,2),"")</f>
        <v/>
      </c>
      <c r="AW27" s="1" t="str">
        <f>IFERROR(ROUND(Sheet1!X34/Sheet1!V34*M27,0),"")</f>
        <v/>
      </c>
      <c r="AX27" s="1" t="str">
        <f>IFERROR(ROUND(Sheet1!X34/Sheet1!V34*100,2),"")</f>
        <v/>
      </c>
      <c r="AZ27" s="1" t="str">
        <f>IFERROR(ROUND(Sheet1!Z34/Sheet1!V34*M27,0),"")</f>
        <v/>
      </c>
      <c r="BA27" s="1" t="str">
        <f>IFERROR(ROUND(Sheet1!Z34/Sheet1!V34*100,2),"")</f>
        <v/>
      </c>
      <c r="BC27" s="1" t="str">
        <f>IFERROR(ROUND(Sheet1!AB34/Sheet1!AA34*Sheet1!D34,0),"")</f>
        <v/>
      </c>
      <c r="BD27" s="1" t="str">
        <f>IFERROR(ROUND(Sheet1!AB34/Sheet1!AA34*100,2),"")</f>
        <v/>
      </c>
      <c r="BF27" s="1" t="str">
        <f>IFERROR(ROUND(Sheet1!AD34/Sheet1!AA34*Sheet1!D34,0),"")</f>
        <v/>
      </c>
      <c r="BG27" s="1" t="str">
        <f>IFERROR(ROUND(Sheet1!AC34/Sheet1!AA34*100,2),"")</f>
        <v/>
      </c>
      <c r="BI27" s="1" t="str">
        <f>IFERROR(ROUND(Sheet1!AC34/Sheet1!AA34*Sheet1!D34,0),"")</f>
        <v/>
      </c>
      <c r="BJ27" s="1" t="str">
        <f>IFERROR(ROUND(Sheet1!AD34/Sheet1!AA34*100,2),"")</f>
        <v/>
      </c>
    </row>
    <row r="28" spans="1:62">
      <c r="A28" s="2" t="str">
        <f>IF(Sheet1!B35="","",Sheet1!B35)</f>
        <v/>
      </c>
      <c r="B28" s="2" t="str">
        <f>IF(Sheet1!C35="","",Sheet1!C35)</f>
        <v/>
      </c>
      <c r="C28" s="40" t="str">
        <f>IF(Sheet1!D35="","",Sheet1!D35)</f>
        <v/>
      </c>
      <c r="D28" s="1" t="str">
        <f>IFERROR(ROUND(Sheet1!D35*Sheet1!F35/Sheet1!E35,2),"")</f>
        <v/>
      </c>
      <c r="E28" s="1" t="str">
        <f>IFERROR(ROUND(Sheet1!F35/Sheet1!E35*100,2),"")</f>
        <v/>
      </c>
      <c r="G28" s="1" t="str">
        <f>IFERROR(ROUND(Sheet1!D35*Sheet1!J35/Sheet1!G35,0),"")</f>
        <v/>
      </c>
      <c r="H28" s="1" t="str">
        <f>IFERROR(ROUND(Sheet1!J35/Sheet1!G35*100,2),"")</f>
        <v/>
      </c>
      <c r="J28" s="1" t="str">
        <f>IFERROR(ROUND(Sheet1!D35*Sheet1!K35/Sheet1!G35,0),"")</f>
        <v/>
      </c>
      <c r="K28" s="1" t="str">
        <f>IFERROR(ROUND(Sheet1!K35/Sheet1!G35*100,2),"")</f>
        <v/>
      </c>
      <c r="M28" s="1" t="str">
        <f>IFERROR(ROUND(Sheet1!D35*Sheet1!I35/Sheet1!G35,0),"")</f>
        <v/>
      </c>
      <c r="N28" s="1" t="str">
        <f>IFERROR(ROUND(Sheet1!I35/Sheet1!G35*100,2),"")</f>
        <v/>
      </c>
      <c r="P28" s="1" t="str">
        <f>IFERROR(ROUND(Sheet1!L35/Sheet1!H35*M28,0),"")</f>
        <v/>
      </c>
      <c r="Q28" s="1" t="str">
        <f>IFERROR(ROUND(Sheet1!L35/Sheet1!H35*100,2),"")</f>
        <v/>
      </c>
      <c r="S28" s="1" t="str">
        <f>IFERROR(ROUND(Sheet1!M35/Sheet1!H35*M28,0),"")</f>
        <v/>
      </c>
      <c r="T28" s="1" t="str">
        <f>IFERROR(ROUND(Sheet1!M35/Sheet1!H35*100,2),"")</f>
        <v/>
      </c>
      <c r="V28" s="1" t="str">
        <f>IFERROR(ROUND(Sheet1!O35/Sheet1!H35*M28,0),"")</f>
        <v/>
      </c>
      <c r="W28" s="1" t="str">
        <f>IFERROR(ROUND(Sheet1!O35/Sheet1!H35*100,2),"")</f>
        <v/>
      </c>
      <c r="AA28" s="1" t="str">
        <f>IFERROR(ROUND(Sheet1!P35/Sheet1!H35*100,2),"")</f>
        <v/>
      </c>
      <c r="AC28" s="1" t="str">
        <f>IFERROR(ROUND(Sheet1!N35/Sheet1!H35*100,2),"")</f>
        <v/>
      </c>
      <c r="AE28" s="1" t="str">
        <f>IFERROR(ROUND(Sheet1!Q35/Sheet1!H35*M28,0),"")</f>
        <v/>
      </c>
      <c r="AF28" s="1" t="str">
        <f>IFERROR(ROUND(Sheet1!Q35/Sheet1!H35*100,2),"")</f>
        <v/>
      </c>
      <c r="AH28" s="1" t="str">
        <f>IFERROR(ROUND(Sheet1!R35/Sheet1!H35*M28,0),"")</f>
        <v/>
      </c>
      <c r="AI28" s="1" t="str">
        <f>IFERROR(ROUND(Sheet1!R35/Sheet1!H35*100,2),"")</f>
        <v/>
      </c>
      <c r="AK28" s="1" t="str">
        <f t="shared" si="0"/>
        <v/>
      </c>
      <c r="AL28" s="1" t="str">
        <f>IFERROR(ROUND(Sheet1!U35/Sheet1!S35*M28,0),"")</f>
        <v/>
      </c>
      <c r="AM28" s="1" t="str">
        <f>IFERROR(ROUND(Sheet1!U35/Sheet1!T35*100,2),"")</f>
        <v/>
      </c>
      <c r="AQ28" s="1" t="str">
        <f>IFERROR(ROUND(Sheet1!W35/Sheet1!V35*M28,0),"")</f>
        <v/>
      </c>
      <c r="AR28" s="1" t="str">
        <f>IFERROR(ROUND(Sheet1!W35/Sheet1!V35*100,2),"")</f>
        <v/>
      </c>
      <c r="AT28" s="1" t="str">
        <f>IFERROR(ROUND(Sheet1!Y35/Sheet1!V35*M28,0),"")</f>
        <v/>
      </c>
      <c r="AU28" s="1" t="str">
        <f>IFERROR(ROUND(Sheet1!Y35/Sheet1!V35*100,2),"")</f>
        <v/>
      </c>
      <c r="AW28" s="1" t="str">
        <f>IFERROR(ROUND(Sheet1!X35/Sheet1!V35*M28,0),"")</f>
        <v/>
      </c>
      <c r="AX28" s="1" t="str">
        <f>IFERROR(ROUND(Sheet1!X35/Sheet1!V35*100,2),"")</f>
        <v/>
      </c>
      <c r="AZ28" s="1" t="str">
        <f>IFERROR(ROUND(Sheet1!Z35/Sheet1!V35*M28,0),"")</f>
        <v/>
      </c>
      <c r="BA28" s="1" t="str">
        <f>IFERROR(ROUND(Sheet1!Z35/Sheet1!V35*100,2),"")</f>
        <v/>
      </c>
      <c r="BC28" s="1" t="str">
        <f>IFERROR(ROUND(Sheet1!AB35/Sheet1!AA35*Sheet1!D35,0),"")</f>
        <v/>
      </c>
      <c r="BD28" s="1" t="str">
        <f>IFERROR(ROUND(Sheet1!AB35/Sheet1!AA35*100,2),"")</f>
        <v/>
      </c>
      <c r="BF28" s="1" t="str">
        <f>IFERROR(ROUND(Sheet1!AD35/Sheet1!AA35*Sheet1!D35,0),"")</f>
        <v/>
      </c>
      <c r="BG28" s="1" t="str">
        <f>IFERROR(ROUND(Sheet1!AC35/Sheet1!AA35*100,2),"")</f>
        <v/>
      </c>
      <c r="BI28" s="1" t="str">
        <f>IFERROR(ROUND(Sheet1!AC35/Sheet1!AA35*Sheet1!D35,0),"")</f>
        <v/>
      </c>
      <c r="BJ28" s="1" t="str">
        <f>IFERROR(ROUND(Sheet1!AD35/Sheet1!AA35*100,2),"")</f>
        <v/>
      </c>
    </row>
    <row r="29" spans="1:62">
      <c r="A29" s="2" t="str">
        <f>IF(Sheet1!B36="","",Sheet1!B36)</f>
        <v/>
      </c>
      <c r="B29" s="2" t="str">
        <f>IF(Sheet1!C36="","",Sheet1!C36)</f>
        <v/>
      </c>
      <c r="C29" s="40" t="str">
        <f>IF(Sheet1!D36="","",Sheet1!D36)</f>
        <v/>
      </c>
      <c r="D29" s="1" t="str">
        <f>IFERROR(ROUND(Sheet1!D36*Sheet1!F36/Sheet1!E36,2),"")</f>
        <v/>
      </c>
      <c r="E29" s="1" t="str">
        <f>IFERROR(ROUND(Sheet1!F36/Sheet1!E36*100,2),"")</f>
        <v/>
      </c>
      <c r="G29" s="1" t="str">
        <f>IFERROR(ROUND(Sheet1!D36*Sheet1!J36/Sheet1!G36,0),"")</f>
        <v/>
      </c>
      <c r="H29" s="1" t="str">
        <f>IFERROR(ROUND(Sheet1!J36/Sheet1!G36*100,2),"")</f>
        <v/>
      </c>
      <c r="J29" s="1" t="str">
        <f>IFERROR(ROUND(Sheet1!D36*Sheet1!K36/Sheet1!G36,0),"")</f>
        <v/>
      </c>
      <c r="K29" s="1" t="str">
        <f>IFERROR(ROUND(Sheet1!K36/Sheet1!G36*100,2),"")</f>
        <v/>
      </c>
      <c r="M29" s="1" t="str">
        <f>IFERROR(ROUND(Sheet1!D36*Sheet1!I36/Sheet1!G36,0),"")</f>
        <v/>
      </c>
      <c r="N29" s="1" t="str">
        <f>IFERROR(ROUND(Sheet1!I36/Sheet1!G36*100,2),"")</f>
        <v/>
      </c>
      <c r="P29" s="1" t="str">
        <f>IFERROR(ROUND(Sheet1!L36/Sheet1!H36*M29,0),"")</f>
        <v/>
      </c>
      <c r="Q29" s="1" t="str">
        <f>IFERROR(ROUND(Sheet1!L36/Sheet1!H36*100,2),"")</f>
        <v/>
      </c>
      <c r="S29" s="1" t="str">
        <f>IFERROR(ROUND(Sheet1!M36/Sheet1!H36*M29,0),"")</f>
        <v/>
      </c>
      <c r="T29" s="1" t="str">
        <f>IFERROR(ROUND(Sheet1!M36/Sheet1!H36*100,2),"")</f>
        <v/>
      </c>
      <c r="V29" s="1" t="str">
        <f>IFERROR(ROUND(Sheet1!O36/Sheet1!H36*M29,0),"")</f>
        <v/>
      </c>
      <c r="W29" s="1" t="str">
        <f>IFERROR(ROUND(Sheet1!O36/Sheet1!H36*100,2),"")</f>
        <v/>
      </c>
      <c r="AA29" s="1" t="str">
        <f>IFERROR(ROUND(Sheet1!P36/Sheet1!H36*100,2),"")</f>
        <v/>
      </c>
      <c r="AC29" s="1" t="str">
        <f>IFERROR(ROUND(Sheet1!N36/Sheet1!H36*100,2),"")</f>
        <v/>
      </c>
      <c r="AE29" s="1" t="str">
        <f>IFERROR(ROUND(Sheet1!Q36/Sheet1!H36*M29,0),"")</f>
        <v/>
      </c>
      <c r="AF29" s="1" t="str">
        <f>IFERROR(ROUND(Sheet1!Q36/Sheet1!H36*100,2),"")</f>
        <v/>
      </c>
      <c r="AH29" s="1" t="str">
        <f>IFERROR(ROUND(Sheet1!R36/Sheet1!H36*M29,0),"")</f>
        <v/>
      </c>
      <c r="AI29" s="1" t="str">
        <f>IFERROR(ROUND(Sheet1!R36/Sheet1!H36*100,2),"")</f>
        <v/>
      </c>
      <c r="AK29" s="1" t="str">
        <f t="shared" si="0"/>
        <v/>
      </c>
      <c r="AL29" s="1" t="str">
        <f>IFERROR(ROUND(Sheet1!U36/Sheet1!S36*M29,0),"")</f>
        <v/>
      </c>
      <c r="AM29" s="1" t="str">
        <f>IFERROR(ROUND(Sheet1!U36/Sheet1!T36*100,2),"")</f>
        <v/>
      </c>
      <c r="AQ29" s="1" t="str">
        <f>IFERROR(ROUND(Sheet1!W36/Sheet1!V36*M29,0),"")</f>
        <v/>
      </c>
      <c r="AR29" s="1" t="str">
        <f>IFERROR(ROUND(Sheet1!W36/Sheet1!V36*100,2),"")</f>
        <v/>
      </c>
      <c r="AT29" s="1" t="str">
        <f>IFERROR(ROUND(Sheet1!Y36/Sheet1!V36*M29,0),"")</f>
        <v/>
      </c>
      <c r="AU29" s="1" t="str">
        <f>IFERROR(ROUND(Sheet1!Y36/Sheet1!V36*100,2),"")</f>
        <v/>
      </c>
      <c r="AW29" s="1" t="str">
        <f>IFERROR(ROUND(Sheet1!X36/Sheet1!V36*M29,0),"")</f>
        <v/>
      </c>
      <c r="AX29" s="1" t="str">
        <f>IFERROR(ROUND(Sheet1!X36/Sheet1!V36*100,2),"")</f>
        <v/>
      </c>
      <c r="AZ29" s="1" t="str">
        <f>IFERROR(ROUND(Sheet1!Z36/Sheet1!V36*M29,0),"")</f>
        <v/>
      </c>
      <c r="BA29" s="1" t="str">
        <f>IFERROR(ROUND(Sheet1!Z36/Sheet1!V36*100,2),"")</f>
        <v/>
      </c>
      <c r="BC29" s="1" t="str">
        <f>IFERROR(ROUND(Sheet1!AB36/Sheet1!AA36*Sheet1!D36,0),"")</f>
        <v/>
      </c>
      <c r="BD29" s="1" t="str">
        <f>IFERROR(ROUND(Sheet1!AB36/Sheet1!AA36*100,2),"")</f>
        <v/>
      </c>
      <c r="BF29" s="1" t="str">
        <f>IFERROR(ROUND(Sheet1!AD36/Sheet1!AA36*Sheet1!D36,0),"")</f>
        <v/>
      </c>
      <c r="BG29" s="1" t="str">
        <f>IFERROR(ROUND(Sheet1!AC36/Sheet1!AA36*100,2),"")</f>
        <v/>
      </c>
      <c r="BI29" s="1" t="str">
        <f>IFERROR(ROUND(Sheet1!AC36/Sheet1!AA36*Sheet1!D36,0),"")</f>
        <v/>
      </c>
      <c r="BJ29" s="1" t="str">
        <f>IFERROR(ROUND(Sheet1!AD36/Sheet1!AA36*100,2),"")</f>
        <v/>
      </c>
    </row>
    <row r="30" spans="1:62">
      <c r="A30" s="2" t="str">
        <f>IF(Sheet1!B37="","",Sheet1!B37)</f>
        <v/>
      </c>
      <c r="B30" s="2" t="str">
        <f>IF(Sheet1!C37="","",Sheet1!C37)</f>
        <v/>
      </c>
      <c r="C30" s="40" t="str">
        <f>IF(Sheet1!D37="","",Sheet1!D37)</f>
        <v/>
      </c>
      <c r="D30" s="1" t="str">
        <f>IFERROR(ROUND(Sheet1!D37*Sheet1!F37/Sheet1!E37,2),"")</f>
        <v/>
      </c>
      <c r="E30" s="1" t="str">
        <f>IFERROR(ROUND(Sheet1!F37/Sheet1!E37*100,2),"")</f>
        <v/>
      </c>
      <c r="G30" s="1" t="str">
        <f>IFERROR(ROUND(Sheet1!D37*Sheet1!J37/Sheet1!G37,0),"")</f>
        <v/>
      </c>
      <c r="H30" s="1" t="str">
        <f>IFERROR(ROUND(Sheet1!J37/Sheet1!G37*100,2),"")</f>
        <v/>
      </c>
      <c r="J30" s="1" t="str">
        <f>IFERROR(ROUND(Sheet1!D37*Sheet1!K37/Sheet1!G37,0),"")</f>
        <v/>
      </c>
      <c r="K30" s="1" t="str">
        <f>IFERROR(ROUND(Sheet1!K37/Sheet1!G37*100,2),"")</f>
        <v/>
      </c>
      <c r="M30" s="1" t="str">
        <f>IFERROR(ROUND(Sheet1!D37*Sheet1!I37/Sheet1!G37,0),"")</f>
        <v/>
      </c>
      <c r="N30" s="1" t="str">
        <f>IFERROR(ROUND(Sheet1!I37/Sheet1!G37*100,2),"")</f>
        <v/>
      </c>
      <c r="P30" s="1" t="str">
        <f>IFERROR(ROUND(Sheet1!L37/Sheet1!H37*M30,0),"")</f>
        <v/>
      </c>
      <c r="Q30" s="1" t="str">
        <f>IFERROR(ROUND(Sheet1!L37/Sheet1!H37*100,2),"")</f>
        <v/>
      </c>
      <c r="S30" s="1" t="str">
        <f>IFERROR(ROUND(Sheet1!M37/Sheet1!H37*M30,0),"")</f>
        <v/>
      </c>
      <c r="T30" s="1" t="str">
        <f>IFERROR(ROUND(Sheet1!M37/Sheet1!H37*100,2),"")</f>
        <v/>
      </c>
      <c r="V30" s="1" t="str">
        <f>IFERROR(ROUND(Sheet1!O37/Sheet1!H37*M30,0),"")</f>
        <v/>
      </c>
      <c r="W30" s="1" t="str">
        <f>IFERROR(ROUND(Sheet1!O37/Sheet1!H37*100,2),"")</f>
        <v/>
      </c>
      <c r="AA30" s="1" t="str">
        <f>IFERROR(ROUND(Sheet1!P37/Sheet1!H37*100,2),"")</f>
        <v/>
      </c>
      <c r="AC30" s="1" t="str">
        <f>IFERROR(ROUND(Sheet1!N37/Sheet1!H37*100,2),"")</f>
        <v/>
      </c>
      <c r="AE30" s="1" t="str">
        <f>IFERROR(ROUND(Sheet1!Q37/Sheet1!H37*M30,0),"")</f>
        <v/>
      </c>
      <c r="AF30" s="1" t="str">
        <f>IFERROR(ROUND(Sheet1!Q37/Sheet1!H37*100,2),"")</f>
        <v/>
      </c>
      <c r="AH30" s="1" t="str">
        <f>IFERROR(ROUND(Sheet1!R37/Sheet1!H37*M30,0),"")</f>
        <v/>
      </c>
      <c r="AI30" s="1" t="str">
        <f>IFERROR(ROUND(Sheet1!R37/Sheet1!H37*100,2),"")</f>
        <v/>
      </c>
      <c r="AK30" s="1" t="str">
        <f t="shared" si="0"/>
        <v/>
      </c>
      <c r="AL30" s="1" t="str">
        <f>IFERROR(ROUND(Sheet1!U37/Sheet1!S37*M30,0),"")</f>
        <v/>
      </c>
      <c r="AM30" s="1" t="str">
        <f>IFERROR(ROUND(Sheet1!U37/Sheet1!T37*100,2),"")</f>
        <v/>
      </c>
      <c r="AQ30" s="1" t="str">
        <f>IFERROR(ROUND(Sheet1!W37/Sheet1!V37*M30,0),"")</f>
        <v/>
      </c>
      <c r="AR30" s="1" t="str">
        <f>IFERROR(ROUND(Sheet1!W37/Sheet1!V37*100,2),"")</f>
        <v/>
      </c>
      <c r="AT30" s="1" t="str">
        <f>IFERROR(ROUND(Sheet1!Y37/Sheet1!V37*M30,0),"")</f>
        <v/>
      </c>
      <c r="AU30" s="1" t="str">
        <f>IFERROR(ROUND(Sheet1!Y37/Sheet1!V37*100,2),"")</f>
        <v/>
      </c>
      <c r="AW30" s="1" t="str">
        <f>IFERROR(ROUND(Sheet1!X37/Sheet1!V37*M30,0),"")</f>
        <v/>
      </c>
      <c r="AX30" s="1" t="str">
        <f>IFERROR(ROUND(Sheet1!X37/Sheet1!V37*100,2),"")</f>
        <v/>
      </c>
      <c r="AZ30" s="1" t="str">
        <f>IFERROR(ROUND(Sheet1!Z37/Sheet1!V37*M30,0),"")</f>
        <v/>
      </c>
      <c r="BA30" s="1" t="str">
        <f>IFERROR(ROUND(Sheet1!Z37/Sheet1!V37*100,2),"")</f>
        <v/>
      </c>
      <c r="BC30" s="1" t="str">
        <f>IFERROR(ROUND(Sheet1!AB37/Sheet1!AA37*Sheet1!D37,0),"")</f>
        <v/>
      </c>
      <c r="BD30" s="1" t="str">
        <f>IFERROR(ROUND(Sheet1!AB37/Sheet1!AA37*100,2),"")</f>
        <v/>
      </c>
      <c r="BF30" s="1" t="str">
        <f>IFERROR(ROUND(Sheet1!AD37/Sheet1!AA37*Sheet1!D37,0),"")</f>
        <v/>
      </c>
      <c r="BG30" s="1" t="str">
        <f>IFERROR(ROUND(Sheet1!AC37/Sheet1!AA37*100,2),"")</f>
        <v/>
      </c>
      <c r="BI30" s="1" t="str">
        <f>IFERROR(ROUND(Sheet1!AC37/Sheet1!AA37*Sheet1!D37,0),"")</f>
        <v/>
      </c>
      <c r="BJ30" s="1" t="str">
        <f>IFERROR(ROUND(Sheet1!AD37/Sheet1!AA37*100,2),"")</f>
        <v/>
      </c>
    </row>
    <row r="31" spans="1:62">
      <c r="A31" s="2" t="str">
        <f>IF(Sheet1!B38="","",Sheet1!B38)</f>
        <v/>
      </c>
      <c r="B31" s="2" t="str">
        <f>IF(Sheet1!C38="","",Sheet1!C38)</f>
        <v/>
      </c>
      <c r="C31" s="40" t="str">
        <f>IF(Sheet1!D38="","",Sheet1!D38)</f>
        <v/>
      </c>
      <c r="D31" s="1" t="str">
        <f>IFERROR(ROUND(Sheet1!D38*Sheet1!F38/Sheet1!E38,2),"")</f>
        <v/>
      </c>
      <c r="E31" s="1" t="str">
        <f>IFERROR(ROUND(Sheet1!F38/Sheet1!E38*100,2),"")</f>
        <v/>
      </c>
      <c r="G31" s="1" t="str">
        <f>IFERROR(ROUND(Sheet1!D38*Sheet1!J38/Sheet1!G38,0),"")</f>
        <v/>
      </c>
      <c r="H31" s="1" t="str">
        <f>IFERROR(ROUND(Sheet1!J38/Sheet1!G38*100,2),"")</f>
        <v/>
      </c>
      <c r="J31" s="1" t="str">
        <f>IFERROR(ROUND(Sheet1!D38*Sheet1!K38/Sheet1!G38,0),"")</f>
        <v/>
      </c>
      <c r="K31" s="1" t="str">
        <f>IFERROR(ROUND(Sheet1!K38/Sheet1!G38*100,2),"")</f>
        <v/>
      </c>
      <c r="M31" s="1" t="str">
        <f>IFERROR(ROUND(Sheet1!D38*Sheet1!I38/Sheet1!G38,0),"")</f>
        <v/>
      </c>
      <c r="N31" s="1" t="str">
        <f>IFERROR(ROUND(Sheet1!I38/Sheet1!G38*100,2),"")</f>
        <v/>
      </c>
      <c r="P31" s="1" t="str">
        <f>IFERROR(ROUND(Sheet1!L38/Sheet1!H38*M31,0),"")</f>
        <v/>
      </c>
      <c r="Q31" s="1" t="str">
        <f>IFERROR(ROUND(Sheet1!L38/Sheet1!H38*100,2),"")</f>
        <v/>
      </c>
      <c r="S31" s="1" t="str">
        <f>IFERROR(ROUND(Sheet1!M38/Sheet1!H38*M31,0),"")</f>
        <v/>
      </c>
      <c r="T31" s="1" t="str">
        <f>IFERROR(ROUND(Sheet1!M38/Sheet1!H38*100,2),"")</f>
        <v/>
      </c>
      <c r="V31" s="1" t="str">
        <f>IFERROR(ROUND(Sheet1!O38/Sheet1!H38*M31,0),"")</f>
        <v/>
      </c>
      <c r="W31" s="1" t="str">
        <f>IFERROR(ROUND(Sheet1!O38/Sheet1!H38*100,2),"")</f>
        <v/>
      </c>
      <c r="AA31" s="1" t="str">
        <f>IFERROR(ROUND(Sheet1!P38/Sheet1!H38*100,2),"")</f>
        <v/>
      </c>
      <c r="AC31" s="1" t="str">
        <f>IFERROR(ROUND(Sheet1!N38/Sheet1!H38*100,2),"")</f>
        <v/>
      </c>
      <c r="AE31" s="1" t="str">
        <f>IFERROR(ROUND(Sheet1!Q38/Sheet1!H38*M31,0),"")</f>
        <v/>
      </c>
      <c r="AF31" s="1" t="str">
        <f>IFERROR(ROUND(Sheet1!Q38/Sheet1!H38*100,2),"")</f>
        <v/>
      </c>
      <c r="AH31" s="1" t="str">
        <f>IFERROR(ROUND(Sheet1!R38/Sheet1!H38*M31,0),"")</f>
        <v/>
      </c>
      <c r="AI31" s="1" t="str">
        <f>IFERROR(ROUND(Sheet1!R38/Sheet1!H38*100,2),"")</f>
        <v/>
      </c>
      <c r="AK31" s="1" t="str">
        <f t="shared" si="0"/>
        <v/>
      </c>
      <c r="AL31" s="1" t="str">
        <f>IFERROR(ROUND(Sheet1!U38/Sheet1!S38*M31,0),"")</f>
        <v/>
      </c>
      <c r="AM31" s="1" t="str">
        <f>IFERROR(ROUND(Sheet1!U38/Sheet1!T38*100,2),"")</f>
        <v/>
      </c>
      <c r="AQ31" s="1" t="str">
        <f>IFERROR(ROUND(Sheet1!W38/Sheet1!V38*M31,0),"")</f>
        <v/>
      </c>
      <c r="AR31" s="1" t="str">
        <f>IFERROR(ROUND(Sheet1!W38/Sheet1!V38*100,2),"")</f>
        <v/>
      </c>
      <c r="AT31" s="1" t="str">
        <f>IFERROR(ROUND(Sheet1!Y38/Sheet1!V38*M31,0),"")</f>
        <v/>
      </c>
      <c r="AU31" s="1" t="str">
        <f>IFERROR(ROUND(Sheet1!Y38/Sheet1!V38*100,2),"")</f>
        <v/>
      </c>
      <c r="AW31" s="1" t="str">
        <f>IFERROR(ROUND(Sheet1!X38/Sheet1!V38*M31,0),"")</f>
        <v/>
      </c>
      <c r="AX31" s="1" t="str">
        <f>IFERROR(ROUND(Sheet1!X38/Sheet1!V38*100,2),"")</f>
        <v/>
      </c>
      <c r="AZ31" s="1" t="str">
        <f>IFERROR(ROUND(Sheet1!Z38/Sheet1!V38*M31,0),"")</f>
        <v/>
      </c>
      <c r="BA31" s="1" t="str">
        <f>IFERROR(ROUND(Sheet1!Z38/Sheet1!V38*100,2),"")</f>
        <v/>
      </c>
      <c r="BC31" s="1" t="str">
        <f>IFERROR(ROUND(Sheet1!AB38/Sheet1!AA38*Sheet1!D38,0),"")</f>
        <v/>
      </c>
      <c r="BD31" s="1" t="str">
        <f>IFERROR(ROUND(Sheet1!AB38/Sheet1!AA38*100,2),"")</f>
        <v/>
      </c>
      <c r="BF31" s="1" t="str">
        <f>IFERROR(ROUND(Sheet1!AD38/Sheet1!AA38*Sheet1!D38,0),"")</f>
        <v/>
      </c>
      <c r="BG31" s="1" t="str">
        <f>IFERROR(ROUND(Sheet1!AC38/Sheet1!AA38*100,2),"")</f>
        <v/>
      </c>
      <c r="BI31" s="1" t="str">
        <f>IFERROR(ROUND(Sheet1!AC38/Sheet1!AA38*Sheet1!D38,0),"")</f>
        <v/>
      </c>
      <c r="BJ31" s="1" t="str">
        <f>IFERROR(ROUND(Sheet1!AD38/Sheet1!AA38*100,2),"")</f>
        <v/>
      </c>
    </row>
    <row r="32" spans="1:62">
      <c r="A32" s="2" t="str">
        <f>IF(Sheet1!B39="","",Sheet1!B39)</f>
        <v/>
      </c>
      <c r="B32" s="2" t="str">
        <f>IF(Sheet1!C39="","",Sheet1!C39)</f>
        <v/>
      </c>
      <c r="C32" s="40" t="str">
        <f>IF(Sheet1!D39="","",Sheet1!D39)</f>
        <v/>
      </c>
      <c r="D32" s="1" t="str">
        <f>IFERROR(ROUND(Sheet1!D39*Sheet1!F39/Sheet1!E39,2),"")</f>
        <v/>
      </c>
      <c r="E32" s="1" t="str">
        <f>IFERROR(ROUND(Sheet1!F39/Sheet1!E39*100,2),"")</f>
        <v/>
      </c>
      <c r="G32" s="1" t="str">
        <f>IFERROR(ROUND(Sheet1!D39*Sheet1!J39/Sheet1!G39,0),"")</f>
        <v/>
      </c>
      <c r="H32" s="1" t="str">
        <f>IFERROR(ROUND(Sheet1!J39/Sheet1!G39*100,2),"")</f>
        <v/>
      </c>
      <c r="J32" s="1" t="str">
        <f>IFERROR(ROUND(Sheet1!D39*Sheet1!K39/Sheet1!G39,0),"")</f>
        <v/>
      </c>
      <c r="K32" s="1" t="str">
        <f>IFERROR(ROUND(Sheet1!K39/Sheet1!G39*100,2),"")</f>
        <v/>
      </c>
      <c r="M32" s="1" t="str">
        <f>IFERROR(ROUND(Sheet1!D39*Sheet1!I39/Sheet1!G39,0),"")</f>
        <v/>
      </c>
      <c r="N32" s="1" t="str">
        <f>IFERROR(ROUND(Sheet1!I39/Sheet1!G39*100,2),"")</f>
        <v/>
      </c>
      <c r="P32" s="1" t="str">
        <f>IFERROR(ROUND(Sheet1!L39/Sheet1!H39*M32,0),"")</f>
        <v/>
      </c>
      <c r="Q32" s="1" t="str">
        <f>IFERROR(ROUND(Sheet1!L39/Sheet1!H39*100,2),"")</f>
        <v/>
      </c>
      <c r="S32" s="1" t="str">
        <f>IFERROR(ROUND(Sheet1!M39/Sheet1!H39*M32,0),"")</f>
        <v/>
      </c>
      <c r="T32" s="1" t="str">
        <f>IFERROR(ROUND(Sheet1!M39/Sheet1!H39*100,2),"")</f>
        <v/>
      </c>
      <c r="V32" s="1" t="str">
        <f>IFERROR(ROUND(Sheet1!O39/Sheet1!H39*M32,0),"")</f>
        <v/>
      </c>
      <c r="W32" s="1" t="str">
        <f>IFERROR(ROUND(Sheet1!O39/Sheet1!H39*100,2),"")</f>
        <v/>
      </c>
      <c r="AA32" s="1" t="str">
        <f>IFERROR(ROUND(Sheet1!P39/Sheet1!H39*100,2),"")</f>
        <v/>
      </c>
      <c r="AC32" s="1" t="str">
        <f>IFERROR(ROUND(Sheet1!N39/Sheet1!H39*100,2),"")</f>
        <v/>
      </c>
      <c r="AE32" s="1" t="str">
        <f>IFERROR(ROUND(Sheet1!Q39/Sheet1!H39*M32,0),"")</f>
        <v/>
      </c>
      <c r="AF32" s="1" t="str">
        <f>IFERROR(ROUND(Sheet1!Q39/Sheet1!H39*100,2),"")</f>
        <v/>
      </c>
      <c r="AH32" s="1" t="str">
        <f>IFERROR(ROUND(Sheet1!R39/Sheet1!H39*M32,0),"")</f>
        <v/>
      </c>
      <c r="AI32" s="1" t="str">
        <f>IFERROR(ROUND(Sheet1!R39/Sheet1!H39*100,2),"")</f>
        <v/>
      </c>
      <c r="AK32" s="1" t="str">
        <f t="shared" ref="AK32:AK34" si="1">IFERROR(ROUND(AF32/AI32,2),"")</f>
        <v/>
      </c>
      <c r="AL32" s="1" t="str">
        <f>IFERROR(ROUND(Sheet1!U39/Sheet1!S39*M32,0),"")</f>
        <v/>
      </c>
      <c r="AM32" s="1" t="str">
        <f>IFERROR(ROUND(Sheet1!U39/Sheet1!T39*100,2),"")</f>
        <v/>
      </c>
      <c r="AQ32" s="1" t="str">
        <f>IFERROR(ROUND(Sheet1!W39/Sheet1!V39*M32,0),"")</f>
        <v/>
      </c>
      <c r="AR32" s="1" t="str">
        <f>IFERROR(ROUND(Sheet1!W39/Sheet1!V39*100,2),"")</f>
        <v/>
      </c>
      <c r="AT32" s="1" t="str">
        <f>IFERROR(ROUND(Sheet1!Y39/Sheet1!V39*M32,0),"")</f>
        <v/>
      </c>
      <c r="AU32" s="1" t="str">
        <f>IFERROR(ROUND(Sheet1!Y39/Sheet1!V39*100,2),"")</f>
        <v/>
      </c>
      <c r="AW32" s="1" t="str">
        <f>IFERROR(ROUND(Sheet1!X39/Sheet1!V39*M32,0),"")</f>
        <v/>
      </c>
      <c r="AX32" s="1" t="str">
        <f>IFERROR(ROUND(Sheet1!X39/Sheet1!V39*100,2),"")</f>
        <v/>
      </c>
      <c r="AZ32" s="1" t="str">
        <f>IFERROR(ROUND(Sheet1!Z39/Sheet1!V39*M32,0),"")</f>
        <v/>
      </c>
      <c r="BA32" s="1" t="str">
        <f>IFERROR(ROUND(Sheet1!Z39/Sheet1!V39*100,2),"")</f>
        <v/>
      </c>
      <c r="BC32" s="1" t="str">
        <f>IFERROR(ROUND(Sheet1!AB39/Sheet1!AA39*Sheet1!D39,0),"")</f>
        <v/>
      </c>
      <c r="BD32" s="1" t="str">
        <f>IFERROR(ROUND(Sheet1!AB39/Sheet1!AA39*100,2),"")</f>
        <v/>
      </c>
      <c r="BF32" s="1" t="str">
        <f>IFERROR(ROUND(Sheet1!AD39/Sheet1!AA39*Sheet1!D39,0),"")</f>
        <v/>
      </c>
      <c r="BG32" s="1" t="str">
        <f>IFERROR(ROUND(Sheet1!AC39/Sheet1!AA39*100,2),"")</f>
        <v/>
      </c>
      <c r="BI32" s="1" t="str">
        <f>IFERROR(ROUND(Sheet1!AC39/Sheet1!AA39*Sheet1!D39,0),"")</f>
        <v/>
      </c>
      <c r="BJ32" s="1" t="str">
        <f>IFERROR(ROUND(Sheet1!AD39/Sheet1!AA39*100,2),"")</f>
        <v/>
      </c>
    </row>
    <row r="33" spans="1:62">
      <c r="A33" s="2" t="str">
        <f>IF(Sheet1!B40="","",Sheet1!B40)</f>
        <v/>
      </c>
      <c r="B33" s="2" t="str">
        <f>IF(Sheet1!C40="","",Sheet1!C40)</f>
        <v/>
      </c>
      <c r="C33" s="40" t="str">
        <f>IF(Sheet1!D40="","",Sheet1!D40)</f>
        <v/>
      </c>
      <c r="D33" s="1" t="str">
        <f>IFERROR(ROUND(Sheet1!D40*Sheet1!F40/Sheet1!E40,2),"")</f>
        <v/>
      </c>
      <c r="E33" s="1" t="str">
        <f>IFERROR(ROUND(Sheet1!F40/Sheet1!E40*100,2),"")</f>
        <v/>
      </c>
      <c r="G33" s="1" t="str">
        <f>IFERROR(ROUND(Sheet1!D40*Sheet1!J40/Sheet1!G40,0),"")</f>
        <v/>
      </c>
      <c r="H33" s="1" t="str">
        <f>IFERROR(ROUND(Sheet1!J40/Sheet1!G40*100,2),"")</f>
        <v/>
      </c>
      <c r="J33" s="1" t="str">
        <f>IFERROR(ROUND(Sheet1!D40*Sheet1!K40/Sheet1!G40,0),"")</f>
        <v/>
      </c>
      <c r="K33" s="1" t="str">
        <f>IFERROR(ROUND(Sheet1!K40/Sheet1!G40*100,2),"")</f>
        <v/>
      </c>
      <c r="M33" s="1" t="str">
        <f>IFERROR(ROUND(Sheet1!D40*Sheet1!I40/Sheet1!G40,0),"")</f>
        <v/>
      </c>
      <c r="N33" s="1" t="str">
        <f>IFERROR(ROUND(Sheet1!I40/Sheet1!G40*100,2),"")</f>
        <v/>
      </c>
      <c r="P33" s="1" t="str">
        <f>IFERROR(ROUND(Sheet1!L40/Sheet1!H40*M33,0),"")</f>
        <v/>
      </c>
      <c r="Q33" s="1" t="str">
        <f>IFERROR(ROUND(Sheet1!L40/Sheet1!H40*100,2),"")</f>
        <v/>
      </c>
      <c r="S33" s="1" t="str">
        <f>IFERROR(ROUND(Sheet1!M40/Sheet1!H40*M33,0),"")</f>
        <v/>
      </c>
      <c r="T33" s="1" t="str">
        <f>IFERROR(ROUND(Sheet1!M40/Sheet1!H40*100,2),"")</f>
        <v/>
      </c>
      <c r="V33" s="1" t="str">
        <f>IFERROR(ROUND(Sheet1!O40/Sheet1!H40*M33,0),"")</f>
        <v/>
      </c>
      <c r="W33" s="1" t="str">
        <f>IFERROR(ROUND(Sheet1!O40/Sheet1!H40*100,2),"")</f>
        <v/>
      </c>
      <c r="AA33" s="1" t="str">
        <f>IFERROR(ROUND(Sheet1!P40/Sheet1!H40*100,2),"")</f>
        <v/>
      </c>
      <c r="AC33" s="1" t="str">
        <f>IFERROR(ROUND(Sheet1!N40/Sheet1!H40*100,2),"")</f>
        <v/>
      </c>
      <c r="AE33" s="1" t="str">
        <f>IFERROR(ROUND(Sheet1!Q40/Sheet1!H40*M33,0),"")</f>
        <v/>
      </c>
      <c r="AF33" s="1" t="str">
        <f>IFERROR(ROUND(Sheet1!Q40/Sheet1!H40*100,2),"")</f>
        <v/>
      </c>
      <c r="AH33" s="1" t="str">
        <f>IFERROR(ROUND(Sheet1!R40/Sheet1!H40*M33,0),"")</f>
        <v/>
      </c>
      <c r="AI33" s="1" t="str">
        <f>IFERROR(ROUND(Sheet1!R40/Sheet1!H40*100,2),"")</f>
        <v/>
      </c>
      <c r="AK33" s="1" t="str">
        <f t="shared" si="1"/>
        <v/>
      </c>
      <c r="AL33" s="1" t="str">
        <f>IFERROR(ROUND(Sheet1!U40/Sheet1!S40*M33,0),"")</f>
        <v/>
      </c>
      <c r="AM33" s="1" t="str">
        <f>IFERROR(ROUND(Sheet1!U40/Sheet1!T40*100,2),"")</f>
        <v/>
      </c>
      <c r="AQ33" s="1" t="str">
        <f>IFERROR(ROUND(Sheet1!W40/Sheet1!V40*M33,0),"")</f>
        <v/>
      </c>
      <c r="AR33" s="1" t="str">
        <f>IFERROR(ROUND(Sheet1!W40/Sheet1!V40*100,2),"")</f>
        <v/>
      </c>
      <c r="AT33" s="1" t="str">
        <f>IFERROR(ROUND(Sheet1!Y40/Sheet1!V40*M33,0),"")</f>
        <v/>
      </c>
      <c r="AU33" s="1" t="str">
        <f>IFERROR(ROUND(Sheet1!Y40/Sheet1!V40*100,2),"")</f>
        <v/>
      </c>
      <c r="AW33" s="1" t="str">
        <f>IFERROR(ROUND(Sheet1!X40/Sheet1!V40*M33,0),"")</f>
        <v/>
      </c>
      <c r="AX33" s="1" t="str">
        <f>IFERROR(ROUND(Sheet1!X40/Sheet1!V40*100,2),"")</f>
        <v/>
      </c>
      <c r="AZ33" s="1" t="str">
        <f>IFERROR(ROUND(Sheet1!Z40/Sheet1!V40*M33,0),"")</f>
        <v/>
      </c>
      <c r="BA33" s="1" t="str">
        <f>IFERROR(ROUND(Sheet1!Z40/Sheet1!V40*100,2),"")</f>
        <v/>
      </c>
      <c r="BC33" s="1" t="str">
        <f>IFERROR(ROUND(Sheet1!AB40/Sheet1!AA40*Sheet1!D40,0),"")</f>
        <v/>
      </c>
      <c r="BD33" s="1" t="str">
        <f>IFERROR(ROUND(Sheet1!AB40/Sheet1!AA40*100,2),"")</f>
        <v/>
      </c>
      <c r="BF33" s="1" t="str">
        <f>IFERROR(ROUND(Sheet1!AD40/Sheet1!AA40*Sheet1!D40,0),"")</f>
        <v/>
      </c>
      <c r="BG33" s="1" t="str">
        <f>IFERROR(ROUND(Sheet1!AC40/Sheet1!AA40*100,2),"")</f>
        <v/>
      </c>
      <c r="BI33" s="1" t="str">
        <f>IFERROR(ROUND(Sheet1!AC40/Sheet1!AA40*Sheet1!D40,0),"")</f>
        <v/>
      </c>
      <c r="BJ33" s="1" t="str">
        <f>IFERROR(ROUND(Sheet1!AD40/Sheet1!AA40*100,2),"")</f>
        <v/>
      </c>
    </row>
    <row r="34" spans="1:62">
      <c r="A34" s="2" t="str">
        <f>IF(Sheet1!B41="","",Sheet1!B41)</f>
        <v/>
      </c>
      <c r="B34" s="2" t="str">
        <f>IF(Sheet1!C41="","",Sheet1!C41)</f>
        <v/>
      </c>
      <c r="C34" s="40" t="str">
        <f>IF(Sheet1!D41="","",Sheet1!D41)</f>
        <v/>
      </c>
      <c r="D34" s="1" t="str">
        <f>IFERROR(ROUND(Sheet1!D41*Sheet1!F41/Sheet1!E41,2),"")</f>
        <v/>
      </c>
      <c r="E34" s="1" t="str">
        <f>IFERROR(ROUND(Sheet1!F41/Sheet1!E41*100,2),"")</f>
        <v/>
      </c>
      <c r="G34" s="1" t="str">
        <f>IFERROR(ROUND(Sheet1!D41*Sheet1!J41/Sheet1!G41,0),"")</f>
        <v/>
      </c>
      <c r="H34" s="1" t="str">
        <f>IFERROR(ROUND(Sheet1!J41/Sheet1!G41*100,2),"")</f>
        <v/>
      </c>
      <c r="J34" s="1" t="str">
        <f>IFERROR(ROUND(Sheet1!D41*Sheet1!K41/Sheet1!G41,0),"")</f>
        <v/>
      </c>
      <c r="K34" s="1" t="str">
        <f>IFERROR(ROUND(Sheet1!K41/Sheet1!G41*100,2),"")</f>
        <v/>
      </c>
      <c r="M34" s="1" t="str">
        <f>IFERROR(ROUND(Sheet1!D41*Sheet1!I41/Sheet1!G41,0),"")</f>
        <v/>
      </c>
      <c r="N34" s="1" t="str">
        <f>IFERROR(ROUND(Sheet1!I41/Sheet1!G41*100,2),"")</f>
        <v/>
      </c>
      <c r="P34" s="1" t="str">
        <f>IFERROR(ROUND(Sheet1!L41/Sheet1!H41*M34,0),"")</f>
        <v/>
      </c>
      <c r="Q34" s="1" t="str">
        <f>IFERROR(ROUND(Sheet1!L41/Sheet1!H41*100,2),"")</f>
        <v/>
      </c>
      <c r="S34" s="1" t="str">
        <f>IFERROR(ROUND(Sheet1!M41/Sheet1!H41*M34,0),"")</f>
        <v/>
      </c>
      <c r="T34" s="1" t="str">
        <f>IFERROR(ROUND(Sheet1!M41/Sheet1!H41*100,2),"")</f>
        <v/>
      </c>
      <c r="V34" s="1" t="str">
        <f>IFERROR(ROUND(Sheet1!O41/Sheet1!H41*M34,0),"")</f>
        <v/>
      </c>
      <c r="W34" s="1" t="str">
        <f>IFERROR(ROUND(Sheet1!O41/Sheet1!H41*100,2),"")</f>
        <v/>
      </c>
      <c r="AA34" s="1" t="str">
        <f>IFERROR(ROUND(Sheet1!P41/Sheet1!H41*100,2),"")</f>
        <v/>
      </c>
      <c r="AC34" s="1" t="str">
        <f>IFERROR(ROUND(Sheet1!N41/Sheet1!H41*100,2),"")</f>
        <v/>
      </c>
      <c r="AE34" s="1" t="str">
        <f>IFERROR(ROUND(Sheet1!Q41/Sheet1!H41*M34,0),"")</f>
        <v/>
      </c>
      <c r="AF34" s="1" t="str">
        <f>IFERROR(ROUND(Sheet1!Q41/Sheet1!H41*100,2),"")</f>
        <v/>
      </c>
      <c r="AH34" s="1" t="str">
        <f>IFERROR(ROUND(Sheet1!R41/Sheet1!H41*M34,0),"")</f>
        <v/>
      </c>
      <c r="AI34" s="1" t="str">
        <f>IFERROR(ROUND(Sheet1!R41/Sheet1!H41*100,2),"")</f>
        <v/>
      </c>
      <c r="AK34" s="1" t="str">
        <f t="shared" si="1"/>
        <v/>
      </c>
      <c r="AL34" s="1" t="str">
        <f>IFERROR(ROUND(Sheet1!U41/Sheet1!S41*M34,0),"")</f>
        <v/>
      </c>
      <c r="AM34" s="1" t="str">
        <f>IFERROR(ROUND(Sheet1!U41/Sheet1!T41*100,2),"")</f>
        <v/>
      </c>
      <c r="AQ34" s="1" t="str">
        <f>IFERROR(ROUND(Sheet1!W41/Sheet1!V41*M34,0),"")</f>
        <v/>
      </c>
      <c r="AR34" s="1" t="str">
        <f>IFERROR(ROUND(Sheet1!W41/Sheet1!V41*100,2),"")</f>
        <v/>
      </c>
      <c r="AT34" s="1" t="str">
        <f>IFERROR(ROUND(Sheet1!Y41/Sheet1!V41*M34,0),"")</f>
        <v/>
      </c>
      <c r="AU34" s="1" t="str">
        <f>IFERROR(ROUND(Sheet1!Y41/Sheet1!V41*100,2),"")</f>
        <v/>
      </c>
      <c r="AW34" s="1" t="str">
        <f>IFERROR(ROUND(Sheet1!X41/Sheet1!V41*M34,0),"")</f>
        <v/>
      </c>
      <c r="AX34" s="1" t="str">
        <f>IFERROR(ROUND(Sheet1!X41/Sheet1!V41*100,2),"")</f>
        <v/>
      </c>
      <c r="AZ34" s="1" t="str">
        <f>IFERROR(ROUND(Sheet1!Z41/Sheet1!V41*M34,0),"")</f>
        <v/>
      </c>
      <c r="BA34" s="1" t="str">
        <f>IFERROR(ROUND(Sheet1!Z41/Sheet1!V41*100,2),"")</f>
        <v/>
      </c>
      <c r="BC34" s="1" t="str">
        <f>IFERROR(ROUND(Sheet1!AB41/Sheet1!AA41*Sheet1!D41,0),"")</f>
        <v/>
      </c>
      <c r="BD34" s="1" t="str">
        <f>IFERROR(ROUND(Sheet1!AB41/Sheet1!AA41*100,2),"")</f>
        <v/>
      </c>
      <c r="BF34" s="1" t="str">
        <f>IFERROR(ROUND(Sheet1!AD41/Sheet1!AA41*Sheet1!D41,0),"")</f>
        <v/>
      </c>
      <c r="BG34" s="1" t="str">
        <f>IFERROR(ROUND(Sheet1!AC41/Sheet1!AA41*100,2),"")</f>
        <v/>
      </c>
      <c r="BI34" s="1" t="str">
        <f>IFERROR(ROUND(Sheet1!AC41/Sheet1!AA41*Sheet1!D41,0),"")</f>
        <v/>
      </c>
      <c r="BJ34" s="1" t="str">
        <f>IFERROR(ROUND(Sheet1!AD41/Sheet1!AA41*100,2),"")</f>
        <v/>
      </c>
    </row>
    <row r="35" spans="1:62">
      <c r="A35" s="2" t="str">
        <f>IF(Sheet1!B42="","",Sheet1!B42)</f>
        <v/>
      </c>
      <c r="B35" s="2" t="str">
        <f>IF(Sheet1!C42="","",Sheet1!C42)</f>
        <v/>
      </c>
      <c r="C35" s="40" t="str">
        <f>IF(Sheet1!D42="","",Sheet1!D42)</f>
        <v/>
      </c>
      <c r="D35" s="1" t="str">
        <f>IFERROR(ROUND(Sheet1!D42*Sheet1!F42/Sheet1!E42,2),"")</f>
        <v/>
      </c>
      <c r="E35" s="1" t="str">
        <f>IFERROR(ROUND(Sheet1!F42/Sheet1!E42*100,2),"")</f>
        <v/>
      </c>
      <c r="G35" s="1" t="str">
        <f>IFERROR(ROUND(Sheet1!D42*Sheet1!J42/Sheet1!G42,0),"")</f>
        <v/>
      </c>
      <c r="H35" s="1" t="str">
        <f>IFERROR(ROUND(Sheet1!J42/Sheet1!G42*100,2),"")</f>
        <v/>
      </c>
      <c r="J35" s="1" t="str">
        <f>IFERROR(ROUND(Sheet1!D42*Sheet1!K42/Sheet1!G42,0),"")</f>
        <v/>
      </c>
      <c r="K35" s="1" t="str">
        <f>IFERROR(ROUND(Sheet1!K42/Sheet1!G42*100,2),"")</f>
        <v/>
      </c>
      <c r="M35" s="1" t="str">
        <f>IFERROR(ROUND(Sheet1!D42*Sheet1!I42/Sheet1!G42,0),"")</f>
        <v/>
      </c>
      <c r="N35" s="1" t="str">
        <f>IFERROR(ROUND(Sheet1!I42/Sheet1!G42*100,2),"")</f>
        <v/>
      </c>
      <c r="P35" s="1" t="str">
        <f>IFERROR(ROUND(Sheet1!L42/Sheet1!H42*M35,0),"")</f>
        <v/>
      </c>
      <c r="Q35" s="1" t="str">
        <f>IFERROR(ROUND(Sheet1!L42/Sheet1!H42*100,2),"")</f>
        <v/>
      </c>
      <c r="S35" s="1" t="str">
        <f>IFERROR(ROUND(Sheet1!M42/Sheet1!H42*M35,0),"")</f>
        <v/>
      </c>
      <c r="T35" s="1" t="str">
        <f>IFERROR(ROUND(Sheet1!M42/Sheet1!H42*100,2),"")</f>
        <v/>
      </c>
      <c r="V35" s="1" t="str">
        <f>IFERROR(ROUND(Sheet1!O42/Sheet1!H42*M35,0),"")</f>
        <v/>
      </c>
      <c r="W35" s="1" t="str">
        <f>IFERROR(ROUND(Sheet1!O42/Sheet1!H42*100,2),"")</f>
        <v/>
      </c>
      <c r="AA35" s="1" t="str">
        <f>IFERROR(ROUND(Sheet1!P42/Sheet1!H42*100,2),"")</f>
        <v/>
      </c>
      <c r="AC35" s="1" t="str">
        <f>IFERROR(ROUND(Sheet1!N42/Sheet1!H42*100,2),"")</f>
        <v/>
      </c>
      <c r="AE35" s="1" t="str">
        <f>IFERROR(ROUND(Sheet1!Q42/Sheet1!H42*M35,0),"")</f>
        <v/>
      </c>
      <c r="AF35" s="1" t="str">
        <f>IFERROR(ROUND(Sheet1!Q42/Sheet1!H42*100,2),"")</f>
        <v/>
      </c>
      <c r="AH35" s="1" t="str">
        <f>IFERROR(ROUND(Sheet1!R42/Sheet1!H42*M35,0),"")</f>
        <v/>
      </c>
      <c r="AI35" s="1" t="str">
        <f>IFERROR(ROUND(Sheet1!R42/Sheet1!H42*100,2),"")</f>
        <v/>
      </c>
      <c r="AK35" s="1" t="str">
        <f t="shared" ref="AK35:AK49" si="2">IFERROR(ROUND(AF35/AI35,2),"")</f>
        <v/>
      </c>
      <c r="AL35" s="1" t="str">
        <f>IFERROR(ROUND(Sheet1!U42/Sheet1!S42*M35,0),"")</f>
        <v/>
      </c>
      <c r="AM35" s="1" t="str">
        <f>IFERROR(ROUND(Sheet1!U42/Sheet1!T42*100,2),"")</f>
        <v/>
      </c>
      <c r="AQ35" s="1" t="str">
        <f>IFERROR(ROUND(Sheet1!W42/Sheet1!V42*M35,0),"")</f>
        <v/>
      </c>
      <c r="AR35" s="1" t="str">
        <f>IFERROR(ROUND(Sheet1!W42/Sheet1!V42*100,2),"")</f>
        <v/>
      </c>
      <c r="AT35" s="1" t="str">
        <f>IFERROR(ROUND(Sheet1!Y42/Sheet1!V42*M35,0),"")</f>
        <v/>
      </c>
      <c r="AU35" s="1" t="str">
        <f>IFERROR(ROUND(Sheet1!Y42/Sheet1!V42*100,2),"")</f>
        <v/>
      </c>
      <c r="AW35" s="1" t="str">
        <f>IFERROR(ROUND(Sheet1!X42/Sheet1!V42*M35,0),"")</f>
        <v/>
      </c>
      <c r="AX35" s="1" t="str">
        <f>IFERROR(ROUND(Sheet1!X42/Sheet1!V42*100,2),"")</f>
        <v/>
      </c>
      <c r="AZ35" s="1" t="str">
        <f>IFERROR(ROUND(Sheet1!Z42/Sheet1!V42*M35,0),"")</f>
        <v/>
      </c>
      <c r="BA35" s="1" t="str">
        <f>IFERROR(ROUND(Sheet1!Z42/Sheet1!V42*100,2),"")</f>
        <v/>
      </c>
      <c r="BC35" s="1" t="str">
        <f>IFERROR(ROUND(Sheet1!AB42/Sheet1!AA42*Sheet1!D42,0),"")</f>
        <v/>
      </c>
      <c r="BD35" s="1" t="str">
        <f>IFERROR(ROUND(Sheet1!AB42/Sheet1!AA42*100,2),"")</f>
        <v/>
      </c>
      <c r="BF35" s="1" t="str">
        <f>IFERROR(ROUND(Sheet1!AD42/Sheet1!AA42*Sheet1!D42,0),"")</f>
        <v/>
      </c>
      <c r="BG35" s="1" t="str">
        <f>IFERROR(ROUND(Sheet1!AC42/Sheet1!AA42*100,2),"")</f>
        <v/>
      </c>
      <c r="BI35" s="1" t="str">
        <f>IFERROR(ROUND(Sheet1!AC42/Sheet1!AA42*Sheet1!D42,0),"")</f>
        <v/>
      </c>
      <c r="BJ35" s="1" t="str">
        <f>IFERROR(ROUND(Sheet1!AD42/Sheet1!AA42*100,2),"")</f>
        <v/>
      </c>
    </row>
    <row r="36" spans="1:62">
      <c r="A36" s="2" t="str">
        <f>IF(Sheet1!B43="","",Sheet1!B43)</f>
        <v/>
      </c>
      <c r="B36" s="2" t="str">
        <f>IF(Sheet1!C43="","",Sheet1!C43)</f>
        <v/>
      </c>
      <c r="C36" s="40" t="str">
        <f>IF(Sheet1!D43="","",Sheet1!D43)</f>
        <v/>
      </c>
      <c r="D36" s="1" t="str">
        <f>IFERROR(ROUND(Sheet1!D43*Sheet1!F43/Sheet1!E43,2),"")</f>
        <v/>
      </c>
      <c r="E36" s="1" t="str">
        <f>IFERROR(ROUND(Sheet1!F43/Sheet1!E43*100,2),"")</f>
        <v/>
      </c>
      <c r="G36" s="1" t="str">
        <f>IFERROR(ROUND(Sheet1!D43*Sheet1!J43/Sheet1!G43,0),"")</f>
        <v/>
      </c>
      <c r="H36" s="1" t="str">
        <f>IFERROR(ROUND(Sheet1!J43/Sheet1!G43*100,2),"")</f>
        <v/>
      </c>
      <c r="J36" s="1" t="str">
        <f>IFERROR(ROUND(Sheet1!D43*Sheet1!K43/Sheet1!G43,0),"")</f>
        <v/>
      </c>
      <c r="K36" s="1" t="str">
        <f>IFERROR(ROUND(Sheet1!K43/Sheet1!G43*100,2),"")</f>
        <v/>
      </c>
      <c r="M36" s="1" t="str">
        <f>IFERROR(ROUND(Sheet1!D43*Sheet1!I43/Sheet1!G43,0),"")</f>
        <v/>
      </c>
      <c r="N36" s="1" t="str">
        <f>IFERROR(ROUND(Sheet1!I43/Sheet1!G43*100,2),"")</f>
        <v/>
      </c>
      <c r="P36" s="1" t="str">
        <f>IFERROR(ROUND(Sheet1!L43/Sheet1!H43*M36,0),"")</f>
        <v/>
      </c>
      <c r="Q36" s="1" t="str">
        <f>IFERROR(ROUND(Sheet1!L43/Sheet1!H43*100,2),"")</f>
        <v/>
      </c>
      <c r="S36" s="1" t="str">
        <f>IFERROR(ROUND(Sheet1!M43/Sheet1!H43*M36,0),"")</f>
        <v/>
      </c>
      <c r="T36" s="1" t="str">
        <f>IFERROR(ROUND(Sheet1!M43/Sheet1!H43*100,2),"")</f>
        <v/>
      </c>
      <c r="V36" s="1" t="str">
        <f>IFERROR(ROUND(Sheet1!O43/Sheet1!H43*M36,0),"")</f>
        <v/>
      </c>
      <c r="W36" s="1" t="str">
        <f>IFERROR(ROUND(Sheet1!O43/Sheet1!H43*100,2),"")</f>
        <v/>
      </c>
      <c r="AA36" s="1" t="str">
        <f>IFERROR(ROUND(Sheet1!P43/Sheet1!H43*100,2),"")</f>
        <v/>
      </c>
      <c r="AC36" s="1" t="str">
        <f>IFERROR(ROUND(Sheet1!N43/Sheet1!H43*100,2),"")</f>
        <v/>
      </c>
      <c r="AE36" s="1" t="str">
        <f>IFERROR(ROUND(Sheet1!Q43/Sheet1!H43*M36,0),"")</f>
        <v/>
      </c>
      <c r="AF36" s="1" t="str">
        <f>IFERROR(ROUND(Sheet1!Q43/Sheet1!H43*100,2),"")</f>
        <v/>
      </c>
      <c r="AH36" s="1" t="str">
        <f>IFERROR(ROUND(Sheet1!R43/Sheet1!H43*M36,0),"")</f>
        <v/>
      </c>
      <c r="AI36" s="1" t="str">
        <f>IFERROR(ROUND(Sheet1!R43/Sheet1!H43*100,2),"")</f>
        <v/>
      </c>
      <c r="AK36" s="1" t="str">
        <f t="shared" si="2"/>
        <v/>
      </c>
      <c r="AL36" s="1" t="str">
        <f>IFERROR(ROUND(Sheet1!U43/Sheet1!S43*M36,0),"")</f>
        <v/>
      </c>
      <c r="AM36" s="1" t="str">
        <f>IFERROR(ROUND(Sheet1!U43/Sheet1!T43*100,2),"")</f>
        <v/>
      </c>
      <c r="AQ36" s="1" t="str">
        <f>IFERROR(ROUND(Sheet1!W43/Sheet1!V43*M36,0),"")</f>
        <v/>
      </c>
      <c r="AR36" s="1" t="str">
        <f>IFERROR(ROUND(Sheet1!W43/Sheet1!V43*100,2),"")</f>
        <v/>
      </c>
      <c r="AT36" s="1" t="str">
        <f>IFERROR(ROUND(Sheet1!Y43/Sheet1!V43*M36,0),"")</f>
        <v/>
      </c>
      <c r="AU36" s="1" t="str">
        <f>IFERROR(ROUND(Sheet1!Y43/Sheet1!V43*100,2),"")</f>
        <v/>
      </c>
      <c r="AW36" s="1" t="str">
        <f>IFERROR(ROUND(Sheet1!X43/Sheet1!V43*M36,0),"")</f>
        <v/>
      </c>
      <c r="AX36" s="1" t="str">
        <f>IFERROR(ROUND(Sheet1!X43/Sheet1!V43*100,2),"")</f>
        <v/>
      </c>
      <c r="AZ36" s="1" t="str">
        <f>IFERROR(ROUND(Sheet1!Z43/Sheet1!V43*M36,0),"")</f>
        <v/>
      </c>
      <c r="BA36" s="1" t="str">
        <f>IFERROR(ROUND(Sheet1!Z43/Sheet1!V43*100,2),"")</f>
        <v/>
      </c>
      <c r="BC36" s="1" t="str">
        <f>IFERROR(ROUND(Sheet1!AB43/Sheet1!AA43*Sheet1!D43,0),"")</f>
        <v/>
      </c>
      <c r="BD36" s="1" t="str">
        <f>IFERROR(ROUND(Sheet1!AB43/Sheet1!AA43*100,2),"")</f>
        <v/>
      </c>
      <c r="BF36" s="1" t="str">
        <f>IFERROR(ROUND(Sheet1!AD43/Sheet1!AA43*Sheet1!D43,0),"")</f>
        <v/>
      </c>
      <c r="BG36" s="1" t="str">
        <f>IFERROR(ROUND(Sheet1!AC43/Sheet1!AA43*100,2),"")</f>
        <v/>
      </c>
      <c r="BI36" s="1" t="str">
        <f>IFERROR(ROUND(Sheet1!AC43/Sheet1!AA43*Sheet1!D43,0),"")</f>
        <v/>
      </c>
      <c r="BJ36" s="1" t="str">
        <f>IFERROR(ROUND(Sheet1!AD43/Sheet1!AA43*100,2),"")</f>
        <v/>
      </c>
    </row>
    <row r="37" spans="1:62">
      <c r="A37" s="2" t="str">
        <f>IF(Sheet1!B44="","",Sheet1!B44)</f>
        <v/>
      </c>
      <c r="B37" s="2" t="str">
        <f>IF(Sheet1!C44="","",Sheet1!C44)</f>
        <v/>
      </c>
      <c r="C37" s="40" t="str">
        <f>IF(Sheet1!D44="","",Sheet1!D44)</f>
        <v/>
      </c>
      <c r="D37" s="1" t="str">
        <f>IFERROR(ROUND(Sheet1!D44*Sheet1!F44/Sheet1!E44,2),"")</f>
        <v/>
      </c>
      <c r="E37" s="1" t="str">
        <f>IFERROR(ROUND(Sheet1!F44/Sheet1!E44*100,2),"")</f>
        <v/>
      </c>
      <c r="G37" s="1" t="str">
        <f>IFERROR(ROUND(Sheet1!D44*Sheet1!J44/Sheet1!G44,0),"")</f>
        <v/>
      </c>
      <c r="H37" s="1" t="str">
        <f>IFERROR(ROUND(Sheet1!J44/Sheet1!G44*100,2),"")</f>
        <v/>
      </c>
      <c r="J37" s="1" t="str">
        <f>IFERROR(ROUND(Sheet1!D44*Sheet1!K44/Sheet1!G44,0),"")</f>
        <v/>
      </c>
      <c r="K37" s="1" t="str">
        <f>IFERROR(ROUND(Sheet1!K44/Sheet1!G44*100,2),"")</f>
        <v/>
      </c>
      <c r="M37" s="1" t="str">
        <f>IFERROR(ROUND(Sheet1!D44*Sheet1!I44/Sheet1!G44,0),"")</f>
        <v/>
      </c>
      <c r="N37" s="1" t="str">
        <f>IFERROR(ROUND(Sheet1!I44/Sheet1!G44*100,2),"")</f>
        <v/>
      </c>
      <c r="P37" s="1" t="str">
        <f>IFERROR(ROUND(Sheet1!L44/Sheet1!H44*M37,0),"")</f>
        <v/>
      </c>
      <c r="Q37" s="1" t="str">
        <f>IFERROR(ROUND(Sheet1!L44/Sheet1!H44*100,2),"")</f>
        <v/>
      </c>
      <c r="S37" s="1" t="str">
        <f>IFERROR(ROUND(Sheet1!M44/Sheet1!H44*M37,0),"")</f>
        <v/>
      </c>
      <c r="T37" s="1" t="str">
        <f>IFERROR(ROUND(Sheet1!M44/Sheet1!H44*100,2),"")</f>
        <v/>
      </c>
      <c r="V37" s="1" t="str">
        <f>IFERROR(ROUND(Sheet1!O44/Sheet1!H44*M37,0),"")</f>
        <v/>
      </c>
      <c r="W37" s="1" t="str">
        <f>IFERROR(ROUND(Sheet1!O44/Sheet1!H44*100,2),"")</f>
        <v/>
      </c>
      <c r="AA37" s="1" t="str">
        <f>IFERROR(ROUND(Sheet1!P44/Sheet1!H44*100,2),"")</f>
        <v/>
      </c>
      <c r="AC37" s="1" t="str">
        <f>IFERROR(ROUND(Sheet1!N44/Sheet1!H44*100,2),"")</f>
        <v/>
      </c>
      <c r="AE37" s="1" t="str">
        <f>IFERROR(ROUND(Sheet1!Q44/Sheet1!H44*M37,0),"")</f>
        <v/>
      </c>
      <c r="AF37" s="1" t="str">
        <f>IFERROR(ROUND(Sheet1!Q44/Sheet1!H44*100,2),"")</f>
        <v/>
      </c>
      <c r="AH37" s="1" t="str">
        <f>IFERROR(ROUND(Sheet1!R44/Sheet1!H44*M37,0),"")</f>
        <v/>
      </c>
      <c r="AI37" s="1" t="str">
        <f>IFERROR(ROUND(Sheet1!R44/Sheet1!H44*100,2),"")</f>
        <v/>
      </c>
      <c r="AK37" s="1" t="str">
        <f t="shared" si="2"/>
        <v/>
      </c>
      <c r="AL37" s="1" t="str">
        <f>IFERROR(ROUND(Sheet1!U44/Sheet1!S44*M37,0),"")</f>
        <v/>
      </c>
      <c r="AM37" s="1" t="str">
        <f>IFERROR(ROUND(Sheet1!U44/Sheet1!T44*100,2),"")</f>
        <v/>
      </c>
      <c r="AQ37" s="1" t="str">
        <f>IFERROR(ROUND(Sheet1!W44/Sheet1!V44*M37,0),"")</f>
        <v/>
      </c>
      <c r="AR37" s="1" t="str">
        <f>IFERROR(ROUND(Sheet1!W44/Sheet1!V44*100,2),"")</f>
        <v/>
      </c>
      <c r="AT37" s="1" t="str">
        <f>IFERROR(ROUND(Sheet1!Y44/Sheet1!V44*M37,0),"")</f>
        <v/>
      </c>
      <c r="AU37" s="1" t="str">
        <f>IFERROR(ROUND(Sheet1!Y44/Sheet1!V44*100,2),"")</f>
        <v/>
      </c>
      <c r="AW37" s="1" t="str">
        <f>IFERROR(ROUND(Sheet1!X44/Sheet1!V44*M37,0),"")</f>
        <v/>
      </c>
      <c r="AX37" s="1" t="str">
        <f>IFERROR(ROUND(Sheet1!X44/Sheet1!V44*100,2),"")</f>
        <v/>
      </c>
      <c r="AZ37" s="1" t="str">
        <f>IFERROR(ROUND(Sheet1!Z44/Sheet1!V44*M37,0),"")</f>
        <v/>
      </c>
      <c r="BA37" s="1" t="str">
        <f>IFERROR(ROUND(Sheet1!Z44/Sheet1!V44*100,2),"")</f>
        <v/>
      </c>
      <c r="BC37" s="1" t="str">
        <f>IFERROR(ROUND(Sheet1!AB44/Sheet1!AA44*Sheet1!D44,0),"")</f>
        <v/>
      </c>
      <c r="BD37" s="1" t="str">
        <f>IFERROR(ROUND(Sheet1!AB44/Sheet1!AA44*100,2),"")</f>
        <v/>
      </c>
      <c r="BF37" s="1" t="str">
        <f>IFERROR(ROUND(Sheet1!AD44/Sheet1!AA44*Sheet1!D44,0),"")</f>
        <v/>
      </c>
      <c r="BG37" s="1" t="str">
        <f>IFERROR(ROUND(Sheet1!AC44/Sheet1!AA44*100,2),"")</f>
        <v/>
      </c>
      <c r="BI37" s="1" t="str">
        <f>IFERROR(ROUND(Sheet1!AC44/Sheet1!AA44*Sheet1!D44,0),"")</f>
        <v/>
      </c>
      <c r="BJ37" s="1" t="str">
        <f>IFERROR(ROUND(Sheet1!AD44/Sheet1!AA44*100,2),"")</f>
        <v/>
      </c>
    </row>
    <row r="38" spans="1:62">
      <c r="A38" s="2" t="str">
        <f>IF(Sheet1!B45="","",Sheet1!B45)</f>
        <v/>
      </c>
      <c r="B38" s="2" t="str">
        <f>IF(Sheet1!C45="","",Sheet1!C45)</f>
        <v/>
      </c>
      <c r="C38" s="40" t="str">
        <f>IF(Sheet1!D45="","",Sheet1!D45)</f>
        <v/>
      </c>
      <c r="D38" s="1" t="str">
        <f>IFERROR(ROUND(Sheet1!D45*Sheet1!F45/Sheet1!E45,2),"")</f>
        <v/>
      </c>
      <c r="E38" s="1" t="str">
        <f>IFERROR(ROUND(Sheet1!F45/Sheet1!E45*100,2),"")</f>
        <v/>
      </c>
      <c r="G38" s="1" t="str">
        <f>IFERROR(ROUND(Sheet1!D45*Sheet1!J45/Sheet1!G45,0),"")</f>
        <v/>
      </c>
      <c r="H38" s="1" t="str">
        <f>IFERROR(ROUND(Sheet1!J45/Sheet1!G45*100,2),"")</f>
        <v/>
      </c>
      <c r="J38" s="1" t="str">
        <f>IFERROR(ROUND(Sheet1!D45*Sheet1!K45/Sheet1!G45,0),"")</f>
        <v/>
      </c>
      <c r="K38" s="1" t="str">
        <f>IFERROR(ROUND(Sheet1!K45/Sheet1!G45*100,2),"")</f>
        <v/>
      </c>
      <c r="M38" s="1" t="str">
        <f>IFERROR(ROUND(Sheet1!D45*Sheet1!I45/Sheet1!G45,0),"")</f>
        <v/>
      </c>
      <c r="N38" s="1" t="str">
        <f>IFERROR(ROUND(Sheet1!I45/Sheet1!G45*100,2),"")</f>
        <v/>
      </c>
      <c r="P38" s="1" t="str">
        <f>IFERROR(ROUND(Sheet1!L45/Sheet1!H45*M38,0),"")</f>
        <v/>
      </c>
      <c r="Q38" s="1" t="str">
        <f>IFERROR(ROUND(Sheet1!L45/Sheet1!H45*100,2),"")</f>
        <v/>
      </c>
      <c r="S38" s="1" t="str">
        <f>IFERROR(ROUND(Sheet1!M45/Sheet1!H45*M38,0),"")</f>
        <v/>
      </c>
      <c r="T38" s="1" t="str">
        <f>IFERROR(ROUND(Sheet1!M45/Sheet1!H45*100,2),"")</f>
        <v/>
      </c>
      <c r="V38" s="1" t="str">
        <f>IFERROR(ROUND(Sheet1!O45/Sheet1!H45*M38,0),"")</f>
        <v/>
      </c>
      <c r="W38" s="1" t="str">
        <f>IFERROR(ROUND(Sheet1!O45/Sheet1!H45*100,2),"")</f>
        <v/>
      </c>
      <c r="AA38" s="1" t="str">
        <f>IFERROR(ROUND(Sheet1!P45/Sheet1!H45*100,2),"")</f>
        <v/>
      </c>
      <c r="AC38" s="1" t="str">
        <f>IFERROR(ROUND(Sheet1!N45/Sheet1!H45*100,2),"")</f>
        <v/>
      </c>
      <c r="AE38" s="1" t="str">
        <f>IFERROR(ROUND(Sheet1!Q45/Sheet1!H45*M38,0),"")</f>
        <v/>
      </c>
      <c r="AF38" s="1" t="str">
        <f>IFERROR(ROUND(Sheet1!Q45/Sheet1!H45*100,2),"")</f>
        <v/>
      </c>
      <c r="AH38" s="1" t="str">
        <f>IFERROR(ROUND(Sheet1!R45/Sheet1!H45*M38,0),"")</f>
        <v/>
      </c>
      <c r="AI38" s="1" t="str">
        <f>IFERROR(ROUND(Sheet1!R45/Sheet1!H45*100,2),"")</f>
        <v/>
      </c>
      <c r="AK38" s="1" t="str">
        <f t="shared" si="2"/>
        <v/>
      </c>
      <c r="AL38" s="1" t="str">
        <f>IFERROR(ROUND(Sheet1!U45/Sheet1!S45*M38,0),"")</f>
        <v/>
      </c>
      <c r="AM38" s="1" t="str">
        <f>IFERROR(ROUND(Sheet1!U45/Sheet1!T45*100,2),"")</f>
        <v/>
      </c>
      <c r="AQ38" s="1" t="str">
        <f>IFERROR(ROUND(Sheet1!W45/Sheet1!V45*M38,0),"")</f>
        <v/>
      </c>
      <c r="AR38" s="1" t="str">
        <f>IFERROR(ROUND(Sheet1!W45/Sheet1!V45*100,2),"")</f>
        <v/>
      </c>
      <c r="AT38" s="1" t="str">
        <f>IFERROR(ROUND(Sheet1!Y45/Sheet1!V45*M38,0),"")</f>
        <v/>
      </c>
      <c r="AU38" s="1" t="str">
        <f>IFERROR(ROUND(Sheet1!Y45/Sheet1!V45*100,2),"")</f>
        <v/>
      </c>
      <c r="AW38" s="1" t="str">
        <f>IFERROR(ROUND(Sheet1!X45/Sheet1!V45*M38,0),"")</f>
        <v/>
      </c>
      <c r="AX38" s="1" t="str">
        <f>IFERROR(ROUND(Sheet1!X45/Sheet1!V45*100,2),"")</f>
        <v/>
      </c>
      <c r="AZ38" s="1" t="str">
        <f>IFERROR(ROUND(Sheet1!Z45/Sheet1!V45*M38,0),"")</f>
        <v/>
      </c>
      <c r="BA38" s="1" t="str">
        <f>IFERROR(ROUND(Sheet1!Z45/Sheet1!V45*100,2),"")</f>
        <v/>
      </c>
      <c r="BC38" s="1" t="str">
        <f>IFERROR(ROUND(Sheet1!AB45/Sheet1!AA45*Sheet1!D45,0),"")</f>
        <v/>
      </c>
      <c r="BD38" s="1" t="str">
        <f>IFERROR(ROUND(Sheet1!AB45/Sheet1!AA45*100,2),"")</f>
        <v/>
      </c>
      <c r="BF38" s="1" t="str">
        <f>IFERROR(ROUND(Sheet1!AD45/Sheet1!AA45*Sheet1!D45,0),"")</f>
        <v/>
      </c>
      <c r="BG38" s="1" t="str">
        <f>IFERROR(ROUND(Sheet1!AC45/Sheet1!AA45*100,2),"")</f>
        <v/>
      </c>
      <c r="BI38" s="1" t="str">
        <f>IFERROR(ROUND(Sheet1!AC45/Sheet1!AA45*Sheet1!D45,0),"")</f>
        <v/>
      </c>
      <c r="BJ38" s="1" t="str">
        <f>IFERROR(ROUND(Sheet1!AD45/Sheet1!AA45*100,2),"")</f>
        <v/>
      </c>
    </row>
    <row r="39" spans="1:62">
      <c r="A39" s="2" t="str">
        <f>IF(Sheet1!B46="","",Sheet1!B46)</f>
        <v/>
      </c>
      <c r="B39" s="2" t="str">
        <f>IF(Sheet1!C46="","",Sheet1!C46)</f>
        <v/>
      </c>
      <c r="C39" s="40" t="str">
        <f>IF(Sheet1!D46="","",Sheet1!D46)</f>
        <v/>
      </c>
      <c r="D39" s="1" t="str">
        <f>IFERROR(ROUND(Sheet1!D46*Sheet1!F46/Sheet1!E46,2),"")</f>
        <v/>
      </c>
      <c r="E39" s="1" t="str">
        <f>IFERROR(ROUND(Sheet1!F46/Sheet1!E46*100,2),"")</f>
        <v/>
      </c>
      <c r="G39" s="1" t="str">
        <f>IFERROR(ROUND(Sheet1!D46*Sheet1!J46/Sheet1!G46,0),"")</f>
        <v/>
      </c>
      <c r="H39" s="1" t="str">
        <f>IFERROR(ROUND(Sheet1!J46/Sheet1!G46*100,2),"")</f>
        <v/>
      </c>
      <c r="J39" s="1" t="str">
        <f>IFERROR(ROUND(Sheet1!D46*Sheet1!K46/Sheet1!G46,0),"")</f>
        <v/>
      </c>
      <c r="K39" s="1" t="str">
        <f>IFERROR(ROUND(Sheet1!K46/Sheet1!G46*100,2),"")</f>
        <v/>
      </c>
      <c r="M39" s="1" t="str">
        <f>IFERROR(ROUND(Sheet1!D46*Sheet1!I46/Sheet1!G46,0),"")</f>
        <v/>
      </c>
      <c r="N39" s="1" t="str">
        <f>IFERROR(ROUND(Sheet1!I46/Sheet1!G46*100,2),"")</f>
        <v/>
      </c>
      <c r="P39" s="1" t="str">
        <f>IFERROR(ROUND(Sheet1!L46/Sheet1!H46*M39,0),"")</f>
        <v/>
      </c>
      <c r="Q39" s="1" t="str">
        <f>IFERROR(ROUND(Sheet1!L46/Sheet1!H46*100,2),"")</f>
        <v/>
      </c>
      <c r="S39" s="1" t="str">
        <f>IFERROR(ROUND(Sheet1!M46/Sheet1!H46*M39,0),"")</f>
        <v/>
      </c>
      <c r="T39" s="1" t="str">
        <f>IFERROR(ROUND(Sheet1!M46/Sheet1!H46*100,2),"")</f>
        <v/>
      </c>
      <c r="V39" s="1" t="str">
        <f>IFERROR(ROUND(Sheet1!O46/Sheet1!H46*M39,0),"")</f>
        <v/>
      </c>
      <c r="W39" s="1" t="str">
        <f>IFERROR(ROUND(Sheet1!O46/Sheet1!H46*100,2),"")</f>
        <v/>
      </c>
      <c r="AA39" s="1" t="str">
        <f>IFERROR(ROUND(Sheet1!P46/Sheet1!H46*100,2),"")</f>
        <v/>
      </c>
      <c r="AC39" s="1" t="str">
        <f>IFERROR(ROUND(Sheet1!N46/Sheet1!H46*100,2),"")</f>
        <v/>
      </c>
      <c r="AE39" s="1" t="str">
        <f>IFERROR(ROUND(Sheet1!Q46/Sheet1!H46*M39,0),"")</f>
        <v/>
      </c>
      <c r="AF39" s="1" t="str">
        <f>IFERROR(ROUND(Sheet1!Q46/Sheet1!H46*100,2),"")</f>
        <v/>
      </c>
      <c r="AH39" s="1" t="str">
        <f>IFERROR(ROUND(Sheet1!R46/Sheet1!H46*M39,0),"")</f>
        <v/>
      </c>
      <c r="AI39" s="1" t="str">
        <f>IFERROR(ROUND(Sheet1!R46/Sheet1!H46*100,2),"")</f>
        <v/>
      </c>
      <c r="AK39" s="1" t="str">
        <f t="shared" si="2"/>
        <v/>
      </c>
      <c r="AL39" s="1" t="str">
        <f>IFERROR(ROUND(Sheet1!U46/Sheet1!S46*M39,0),"")</f>
        <v/>
      </c>
      <c r="AM39" s="1" t="str">
        <f>IFERROR(ROUND(Sheet1!U46/Sheet1!T46*100,2),"")</f>
        <v/>
      </c>
      <c r="AQ39" s="1" t="str">
        <f>IFERROR(ROUND(Sheet1!W46/Sheet1!V46*M39,0),"")</f>
        <v/>
      </c>
      <c r="AR39" s="1" t="str">
        <f>IFERROR(ROUND(Sheet1!W46/Sheet1!V46*100,2),"")</f>
        <v/>
      </c>
      <c r="AT39" s="1" t="str">
        <f>IFERROR(ROUND(Sheet1!Y46/Sheet1!V46*M39,0),"")</f>
        <v/>
      </c>
      <c r="AU39" s="1" t="str">
        <f>IFERROR(ROUND(Sheet1!Y46/Sheet1!V46*100,2),"")</f>
        <v/>
      </c>
      <c r="AW39" s="1" t="str">
        <f>IFERROR(ROUND(Sheet1!X46/Sheet1!V46*M39,0),"")</f>
        <v/>
      </c>
      <c r="AX39" s="1" t="str">
        <f>IFERROR(ROUND(Sheet1!X46/Sheet1!V46*100,2),"")</f>
        <v/>
      </c>
      <c r="AZ39" s="1" t="str">
        <f>IFERROR(ROUND(Sheet1!Z46/Sheet1!V46*M39,0),"")</f>
        <v/>
      </c>
      <c r="BA39" s="1" t="str">
        <f>IFERROR(ROUND(Sheet1!Z46/Sheet1!V46*100,2),"")</f>
        <v/>
      </c>
      <c r="BC39" s="1" t="str">
        <f>IFERROR(ROUND(Sheet1!AB46/Sheet1!AA46*Sheet1!D46,0),"")</f>
        <v/>
      </c>
      <c r="BD39" s="1" t="str">
        <f>IFERROR(ROUND(Sheet1!AB46/Sheet1!AA46*100,2),"")</f>
        <v/>
      </c>
      <c r="BF39" s="1" t="str">
        <f>IFERROR(ROUND(Sheet1!AD46/Sheet1!AA46*Sheet1!D46,0),"")</f>
        <v/>
      </c>
      <c r="BG39" s="1" t="str">
        <f>IFERROR(ROUND(Sheet1!AC46/Sheet1!AA46*100,2),"")</f>
        <v/>
      </c>
      <c r="BI39" s="1" t="str">
        <f>IFERROR(ROUND(Sheet1!AC46/Sheet1!AA46*Sheet1!D46,0),"")</f>
        <v/>
      </c>
      <c r="BJ39" s="1" t="str">
        <f>IFERROR(ROUND(Sheet1!AD46/Sheet1!AA46*100,2),"")</f>
        <v/>
      </c>
    </row>
    <row r="40" spans="1:62">
      <c r="A40" s="2" t="str">
        <f>IF(Sheet1!B47="","",Sheet1!B47)</f>
        <v/>
      </c>
      <c r="B40" s="2" t="str">
        <f>IF(Sheet1!C47="","",Sheet1!C47)</f>
        <v/>
      </c>
      <c r="C40" s="40" t="str">
        <f>IF(Sheet1!D47="","",Sheet1!D47)</f>
        <v/>
      </c>
      <c r="D40" s="1" t="str">
        <f>IFERROR(ROUND(Sheet1!D47*Sheet1!F47/Sheet1!E47,2),"")</f>
        <v/>
      </c>
      <c r="E40" s="1" t="str">
        <f>IFERROR(ROUND(Sheet1!F47/Sheet1!E47*100,2),"")</f>
        <v/>
      </c>
      <c r="G40" s="1" t="str">
        <f>IFERROR(ROUND(Sheet1!D47*Sheet1!J47/Sheet1!G47,0),"")</f>
        <v/>
      </c>
      <c r="H40" s="1" t="str">
        <f>IFERROR(ROUND(Sheet1!J47/Sheet1!G47*100,2),"")</f>
        <v/>
      </c>
      <c r="J40" s="1" t="str">
        <f>IFERROR(ROUND(Sheet1!D47*Sheet1!K47/Sheet1!G47,0),"")</f>
        <v/>
      </c>
      <c r="K40" s="1" t="str">
        <f>IFERROR(ROUND(Sheet1!K47/Sheet1!G47*100,2),"")</f>
        <v/>
      </c>
      <c r="M40" s="1" t="str">
        <f>IFERROR(ROUND(Sheet1!D47*Sheet1!I47/Sheet1!G47,0),"")</f>
        <v/>
      </c>
      <c r="N40" s="1" t="str">
        <f>IFERROR(ROUND(Sheet1!I47/Sheet1!G47*100,2),"")</f>
        <v/>
      </c>
      <c r="P40" s="1" t="str">
        <f>IFERROR(ROUND(Sheet1!L47/Sheet1!H47*M40,0),"")</f>
        <v/>
      </c>
      <c r="Q40" s="1" t="str">
        <f>IFERROR(ROUND(Sheet1!L47/Sheet1!H47*100,2),"")</f>
        <v/>
      </c>
      <c r="S40" s="1" t="str">
        <f>IFERROR(ROUND(Sheet1!M47/Sheet1!H47*M40,0),"")</f>
        <v/>
      </c>
      <c r="T40" s="1" t="str">
        <f>IFERROR(ROUND(Sheet1!M47/Sheet1!H47*100,2),"")</f>
        <v/>
      </c>
      <c r="V40" s="1" t="str">
        <f>IFERROR(ROUND(Sheet1!O47/Sheet1!H47*M40,0),"")</f>
        <v/>
      </c>
      <c r="W40" s="1" t="str">
        <f>IFERROR(ROUND(Sheet1!O47/Sheet1!H47*100,2),"")</f>
        <v/>
      </c>
      <c r="AA40" s="1" t="str">
        <f>IFERROR(ROUND(Sheet1!P47/Sheet1!H47*100,2),"")</f>
        <v/>
      </c>
      <c r="AC40" s="1" t="str">
        <f>IFERROR(ROUND(Sheet1!N47/Sheet1!H47*100,2),"")</f>
        <v/>
      </c>
      <c r="AE40" s="1" t="str">
        <f>IFERROR(ROUND(Sheet1!Q47/Sheet1!H47*M40,0),"")</f>
        <v/>
      </c>
      <c r="AF40" s="1" t="str">
        <f>IFERROR(ROUND(Sheet1!Q47/Sheet1!H47*100,2),"")</f>
        <v/>
      </c>
      <c r="AH40" s="1" t="str">
        <f>IFERROR(ROUND(Sheet1!R47/Sheet1!H47*M40,0),"")</f>
        <v/>
      </c>
      <c r="AI40" s="1" t="str">
        <f>IFERROR(ROUND(Sheet1!R47/Sheet1!H47*100,2),"")</f>
        <v/>
      </c>
      <c r="AK40" s="1" t="str">
        <f t="shared" si="2"/>
        <v/>
      </c>
      <c r="AL40" s="1" t="str">
        <f>IFERROR(ROUND(Sheet1!U47/Sheet1!S47*M40,0),"")</f>
        <v/>
      </c>
      <c r="AM40" s="1" t="str">
        <f>IFERROR(ROUND(Sheet1!U47/Sheet1!T47*100,2),"")</f>
        <v/>
      </c>
      <c r="AQ40" s="1" t="str">
        <f>IFERROR(ROUND(Sheet1!W47/Sheet1!V47*M40,0),"")</f>
        <v/>
      </c>
      <c r="AR40" s="1" t="str">
        <f>IFERROR(ROUND(Sheet1!W47/Sheet1!V47*100,2),"")</f>
        <v/>
      </c>
      <c r="AT40" s="1" t="str">
        <f>IFERROR(ROUND(Sheet1!Y47/Sheet1!V47*M40,0),"")</f>
        <v/>
      </c>
      <c r="AU40" s="1" t="str">
        <f>IFERROR(ROUND(Sheet1!Y47/Sheet1!V47*100,2),"")</f>
        <v/>
      </c>
      <c r="AW40" s="1" t="str">
        <f>IFERROR(ROUND(Sheet1!X47/Sheet1!V47*M40,0),"")</f>
        <v/>
      </c>
      <c r="AX40" s="1" t="str">
        <f>IFERROR(ROUND(Sheet1!X47/Sheet1!V47*100,2),"")</f>
        <v/>
      </c>
      <c r="AZ40" s="1" t="str">
        <f>IFERROR(ROUND(Sheet1!Z47/Sheet1!V47*M40,0),"")</f>
        <v/>
      </c>
      <c r="BA40" s="1" t="str">
        <f>IFERROR(ROUND(Sheet1!Z47/Sheet1!V47*100,2),"")</f>
        <v/>
      </c>
      <c r="BC40" s="1" t="str">
        <f>IFERROR(ROUND(Sheet1!AB47/Sheet1!AA47*Sheet1!D47,0),"")</f>
        <v/>
      </c>
      <c r="BD40" s="1" t="str">
        <f>IFERROR(ROUND(Sheet1!AB47/Sheet1!AA47*100,2),"")</f>
        <v/>
      </c>
      <c r="BF40" s="1" t="str">
        <f>IFERROR(ROUND(Sheet1!AD47/Sheet1!AA47*Sheet1!D47,0),"")</f>
        <v/>
      </c>
      <c r="BG40" s="1" t="str">
        <f>IFERROR(ROUND(Sheet1!AC47/Sheet1!AA47*100,2),"")</f>
        <v/>
      </c>
      <c r="BI40" s="1" t="str">
        <f>IFERROR(ROUND(Sheet1!AC47/Sheet1!AA47*Sheet1!D47,0),"")</f>
        <v/>
      </c>
      <c r="BJ40" s="1" t="str">
        <f>IFERROR(ROUND(Sheet1!AD47/Sheet1!AA47*100,2),"")</f>
        <v/>
      </c>
    </row>
    <row r="41" spans="1:62">
      <c r="A41" s="2" t="str">
        <f>IF(Sheet1!B48="","",Sheet1!B48)</f>
        <v/>
      </c>
      <c r="B41" s="2" t="str">
        <f>IF(Sheet1!C48="","",Sheet1!C48)</f>
        <v/>
      </c>
      <c r="C41" s="40" t="str">
        <f>IF(Sheet1!D48="","",Sheet1!D48)</f>
        <v/>
      </c>
      <c r="D41" s="1" t="str">
        <f>IFERROR(ROUND(Sheet1!D48*Sheet1!F48/Sheet1!E48,2),"")</f>
        <v/>
      </c>
      <c r="E41" s="1" t="str">
        <f>IFERROR(ROUND(Sheet1!F48/Sheet1!E48*100,2),"")</f>
        <v/>
      </c>
      <c r="G41" s="1" t="str">
        <f>IFERROR(ROUND(Sheet1!D48*Sheet1!J48/Sheet1!G48,0),"")</f>
        <v/>
      </c>
      <c r="H41" s="1" t="str">
        <f>IFERROR(ROUND(Sheet1!J48/Sheet1!G48*100,2),"")</f>
        <v/>
      </c>
      <c r="J41" s="1" t="str">
        <f>IFERROR(ROUND(Sheet1!D48*Sheet1!K48/Sheet1!G48,0),"")</f>
        <v/>
      </c>
      <c r="K41" s="1" t="str">
        <f>IFERROR(ROUND(Sheet1!K48/Sheet1!G48*100,2),"")</f>
        <v/>
      </c>
      <c r="M41" s="1" t="str">
        <f>IFERROR(ROUND(Sheet1!D48*Sheet1!I48/Sheet1!G48,0),"")</f>
        <v/>
      </c>
      <c r="N41" s="1" t="str">
        <f>IFERROR(ROUND(Sheet1!I48/Sheet1!G48*100,2),"")</f>
        <v/>
      </c>
      <c r="P41" s="1" t="str">
        <f>IFERROR(ROUND(Sheet1!L48/Sheet1!H48*M41,0),"")</f>
        <v/>
      </c>
      <c r="Q41" s="1" t="str">
        <f>IFERROR(ROUND(Sheet1!L48/Sheet1!H48*100,2),"")</f>
        <v/>
      </c>
      <c r="S41" s="1" t="str">
        <f>IFERROR(ROUND(Sheet1!M48/Sheet1!H48*M41,0),"")</f>
        <v/>
      </c>
      <c r="T41" s="1" t="str">
        <f>IFERROR(ROUND(Sheet1!M48/Sheet1!H48*100,2),"")</f>
        <v/>
      </c>
      <c r="V41" s="1" t="str">
        <f>IFERROR(ROUND(Sheet1!O48/Sheet1!H48*M41,0),"")</f>
        <v/>
      </c>
      <c r="W41" s="1" t="str">
        <f>IFERROR(ROUND(Sheet1!O48/Sheet1!H48*100,2),"")</f>
        <v/>
      </c>
      <c r="AA41" s="1" t="str">
        <f>IFERROR(ROUND(Sheet1!P48/Sheet1!H48*100,2),"")</f>
        <v/>
      </c>
      <c r="AC41" s="1" t="str">
        <f>IFERROR(ROUND(Sheet1!N48/Sheet1!H48*100,2),"")</f>
        <v/>
      </c>
      <c r="AE41" s="1" t="str">
        <f>IFERROR(ROUND(Sheet1!Q48/Sheet1!H48*M41,0),"")</f>
        <v/>
      </c>
      <c r="AF41" s="1" t="str">
        <f>IFERROR(ROUND(Sheet1!Q48/Sheet1!H48*100,2),"")</f>
        <v/>
      </c>
      <c r="AH41" s="1" t="str">
        <f>IFERROR(ROUND(Sheet1!R48/Sheet1!H48*M41,0),"")</f>
        <v/>
      </c>
      <c r="AI41" s="1" t="str">
        <f>IFERROR(ROUND(Sheet1!R48/Sheet1!H48*100,2),"")</f>
        <v/>
      </c>
      <c r="AK41" s="1" t="str">
        <f t="shared" si="2"/>
        <v/>
      </c>
      <c r="AL41" s="1" t="str">
        <f>IFERROR(ROUND(Sheet1!U48/Sheet1!S48*M41,0),"")</f>
        <v/>
      </c>
      <c r="AM41" s="1" t="str">
        <f>IFERROR(ROUND(Sheet1!U48/Sheet1!T48*100,2),"")</f>
        <v/>
      </c>
      <c r="AQ41" s="1" t="str">
        <f>IFERROR(ROUND(Sheet1!W48/Sheet1!V48*M41,0),"")</f>
        <v/>
      </c>
      <c r="AR41" s="1" t="str">
        <f>IFERROR(ROUND(Sheet1!W48/Sheet1!V48*100,2),"")</f>
        <v/>
      </c>
      <c r="AT41" s="1" t="str">
        <f>IFERROR(ROUND(Sheet1!Y48/Sheet1!V48*M41,0),"")</f>
        <v/>
      </c>
      <c r="AU41" s="1" t="str">
        <f>IFERROR(ROUND(Sheet1!Y48/Sheet1!V48*100,2),"")</f>
        <v/>
      </c>
      <c r="AW41" s="1" t="str">
        <f>IFERROR(ROUND(Sheet1!X48/Sheet1!V48*M41,0),"")</f>
        <v/>
      </c>
      <c r="AX41" s="1" t="str">
        <f>IFERROR(ROUND(Sheet1!X48/Sheet1!V48*100,2),"")</f>
        <v/>
      </c>
      <c r="AZ41" s="1" t="str">
        <f>IFERROR(ROUND(Sheet1!Z48/Sheet1!V48*M41,0),"")</f>
        <v/>
      </c>
      <c r="BA41" s="1" t="str">
        <f>IFERROR(ROUND(Sheet1!Z48/Sheet1!V48*100,2),"")</f>
        <v/>
      </c>
      <c r="BC41" s="1" t="str">
        <f>IFERROR(ROUND(Sheet1!AB48/Sheet1!AA48*Sheet1!D48,0),"")</f>
        <v/>
      </c>
      <c r="BD41" s="1" t="str">
        <f>IFERROR(ROUND(Sheet1!AB48/Sheet1!AA48*100,2),"")</f>
        <v/>
      </c>
      <c r="BF41" s="1" t="str">
        <f>IFERROR(ROUND(Sheet1!AD48/Sheet1!AA48*Sheet1!D48,0),"")</f>
        <v/>
      </c>
      <c r="BG41" s="1" t="str">
        <f>IFERROR(ROUND(Sheet1!AC48/Sheet1!AA48*100,2),"")</f>
        <v/>
      </c>
      <c r="BI41" s="1" t="str">
        <f>IFERROR(ROUND(Sheet1!AC48/Sheet1!AA48*Sheet1!D48,0),"")</f>
        <v/>
      </c>
      <c r="BJ41" s="1" t="str">
        <f>IFERROR(ROUND(Sheet1!AD48/Sheet1!AA48*100,2),"")</f>
        <v/>
      </c>
    </row>
    <row r="42" spans="1:62">
      <c r="A42" s="2" t="str">
        <f>IF(Sheet1!B49="","",Sheet1!B49)</f>
        <v/>
      </c>
      <c r="B42" s="2" t="str">
        <f>IF(Sheet1!C49="","",Sheet1!C49)</f>
        <v/>
      </c>
      <c r="C42" s="40" t="str">
        <f>IF(Sheet1!D49="","",Sheet1!D49)</f>
        <v/>
      </c>
      <c r="D42" s="1" t="str">
        <f>IFERROR(ROUND(Sheet1!D49*Sheet1!F49/Sheet1!E49,2),"")</f>
        <v/>
      </c>
      <c r="E42" s="1" t="str">
        <f>IFERROR(ROUND(Sheet1!F49/Sheet1!E49*100,2),"")</f>
        <v/>
      </c>
      <c r="G42" s="1" t="str">
        <f>IFERROR(ROUND(Sheet1!D49*Sheet1!J49/Sheet1!G49,0),"")</f>
        <v/>
      </c>
      <c r="H42" s="1" t="str">
        <f>IFERROR(ROUND(Sheet1!J49/Sheet1!G49*100,2),"")</f>
        <v/>
      </c>
      <c r="J42" s="1" t="str">
        <f>IFERROR(ROUND(Sheet1!D49*Sheet1!K49/Sheet1!G49,0),"")</f>
        <v/>
      </c>
      <c r="K42" s="1" t="str">
        <f>IFERROR(ROUND(Sheet1!K49/Sheet1!G49*100,2),"")</f>
        <v/>
      </c>
      <c r="M42" s="1" t="str">
        <f>IFERROR(ROUND(Sheet1!D49*Sheet1!I49/Sheet1!G49,0),"")</f>
        <v/>
      </c>
      <c r="N42" s="1" t="str">
        <f>IFERROR(ROUND(Sheet1!I49/Sheet1!G49*100,2),"")</f>
        <v/>
      </c>
      <c r="P42" s="1" t="str">
        <f>IFERROR(ROUND(Sheet1!L49/Sheet1!H49*M42,0),"")</f>
        <v/>
      </c>
      <c r="Q42" s="1" t="str">
        <f>IFERROR(ROUND(Sheet1!L49/Sheet1!H49*100,2),"")</f>
        <v/>
      </c>
      <c r="S42" s="1" t="str">
        <f>IFERROR(ROUND(Sheet1!M49/Sheet1!H49*M42,0),"")</f>
        <v/>
      </c>
      <c r="T42" s="1" t="str">
        <f>IFERROR(ROUND(Sheet1!M49/Sheet1!H49*100,2),"")</f>
        <v/>
      </c>
      <c r="V42" s="1" t="str">
        <f>IFERROR(ROUND(Sheet1!O49/Sheet1!H49*M42,0),"")</f>
        <v/>
      </c>
      <c r="W42" s="1" t="str">
        <f>IFERROR(ROUND(Sheet1!O49/Sheet1!H49*100,2),"")</f>
        <v/>
      </c>
      <c r="AA42" s="1" t="str">
        <f>IFERROR(ROUND(Sheet1!P49/Sheet1!H49*100,2),"")</f>
        <v/>
      </c>
      <c r="AC42" s="1" t="str">
        <f>IFERROR(ROUND(Sheet1!N49/Sheet1!H49*100,2),"")</f>
        <v/>
      </c>
      <c r="AE42" s="1" t="str">
        <f>IFERROR(ROUND(Sheet1!Q49/Sheet1!H49*M42,0),"")</f>
        <v/>
      </c>
      <c r="AF42" s="1" t="str">
        <f>IFERROR(ROUND(Sheet1!Q49/Sheet1!H49*100,2),"")</f>
        <v/>
      </c>
      <c r="AH42" s="1" t="str">
        <f>IFERROR(ROUND(Sheet1!R49/Sheet1!H49*M42,0),"")</f>
        <v/>
      </c>
      <c r="AI42" s="1" t="str">
        <f>IFERROR(ROUND(Sheet1!R49/Sheet1!H49*100,2),"")</f>
        <v/>
      </c>
      <c r="AK42" s="1" t="str">
        <f t="shared" si="2"/>
        <v/>
      </c>
      <c r="AL42" s="1" t="str">
        <f>IFERROR(ROUND(Sheet1!U49/Sheet1!S49*M42,0),"")</f>
        <v/>
      </c>
      <c r="AM42" s="1" t="str">
        <f>IFERROR(ROUND(Sheet1!U49/Sheet1!T49*100,2),"")</f>
        <v/>
      </c>
      <c r="AQ42" s="1" t="str">
        <f>IFERROR(ROUND(Sheet1!W49/Sheet1!V49*M42,0),"")</f>
        <v/>
      </c>
      <c r="AR42" s="1" t="str">
        <f>IFERROR(ROUND(Sheet1!W49/Sheet1!V49*100,2),"")</f>
        <v/>
      </c>
      <c r="AT42" s="1" t="str">
        <f>IFERROR(ROUND(Sheet1!Y49/Sheet1!V49*M42,0),"")</f>
        <v/>
      </c>
      <c r="AU42" s="1" t="str">
        <f>IFERROR(ROUND(Sheet1!Y49/Sheet1!V49*100,2),"")</f>
        <v/>
      </c>
      <c r="AW42" s="1" t="str">
        <f>IFERROR(ROUND(Sheet1!X49/Sheet1!V49*M42,0),"")</f>
        <v/>
      </c>
      <c r="AX42" s="1" t="str">
        <f>IFERROR(ROUND(Sheet1!X49/Sheet1!V49*100,2),"")</f>
        <v/>
      </c>
      <c r="AZ42" s="1" t="str">
        <f>IFERROR(ROUND(Sheet1!Z49/Sheet1!V49*M42,0),"")</f>
        <v/>
      </c>
      <c r="BA42" s="1" t="str">
        <f>IFERROR(ROUND(Sheet1!Z49/Sheet1!V49*100,2),"")</f>
        <v/>
      </c>
      <c r="BC42" s="1" t="str">
        <f>IFERROR(ROUND(Sheet1!AB49/Sheet1!AA49*Sheet1!D49,0),"")</f>
        <v/>
      </c>
      <c r="BD42" s="1" t="str">
        <f>IFERROR(ROUND(Sheet1!AB49/Sheet1!AA49*100,2),"")</f>
        <v/>
      </c>
      <c r="BF42" s="1" t="str">
        <f>IFERROR(ROUND(Sheet1!AD49/Sheet1!AA49*Sheet1!D49,0),"")</f>
        <v/>
      </c>
      <c r="BG42" s="1" t="str">
        <f>IFERROR(ROUND(Sheet1!AC49/Sheet1!AA49*100,2),"")</f>
        <v/>
      </c>
      <c r="BI42" s="1" t="str">
        <f>IFERROR(ROUND(Sheet1!AC49/Sheet1!AA49*Sheet1!D49,0),"")</f>
        <v/>
      </c>
      <c r="BJ42" s="1" t="str">
        <f>IFERROR(ROUND(Sheet1!AD49/Sheet1!AA49*100,2),"")</f>
        <v/>
      </c>
    </row>
    <row r="43" spans="1:62">
      <c r="A43" s="2" t="str">
        <f>IF(Sheet1!B50="","",Sheet1!B50)</f>
        <v/>
      </c>
      <c r="B43" s="2" t="str">
        <f>IF(Sheet1!C50="","",Sheet1!C50)</f>
        <v/>
      </c>
      <c r="C43" s="40" t="str">
        <f>IF(Sheet1!D50="","",Sheet1!D50)</f>
        <v/>
      </c>
      <c r="D43" s="1" t="str">
        <f>IFERROR(ROUND(Sheet1!D50*Sheet1!F50/Sheet1!E50,2),"")</f>
        <v/>
      </c>
      <c r="E43" s="1" t="str">
        <f>IFERROR(ROUND(Sheet1!F50/Sheet1!E50*100,2),"")</f>
        <v/>
      </c>
      <c r="G43" s="1" t="str">
        <f>IFERROR(ROUND(Sheet1!D50*Sheet1!J50/Sheet1!G50,0),"")</f>
        <v/>
      </c>
      <c r="H43" s="1" t="str">
        <f>IFERROR(ROUND(Sheet1!J50/Sheet1!G50*100,2),"")</f>
        <v/>
      </c>
      <c r="J43" s="1" t="str">
        <f>IFERROR(ROUND(Sheet1!D50*Sheet1!K50/Sheet1!G50,0),"")</f>
        <v/>
      </c>
      <c r="K43" s="1" t="str">
        <f>IFERROR(ROUND(Sheet1!K50/Sheet1!G50*100,2),"")</f>
        <v/>
      </c>
      <c r="M43" s="1" t="str">
        <f>IFERROR(ROUND(Sheet1!D50*Sheet1!I50/Sheet1!G50,0),"")</f>
        <v/>
      </c>
      <c r="N43" s="1" t="str">
        <f>IFERROR(ROUND(Sheet1!I50/Sheet1!G50*100,2),"")</f>
        <v/>
      </c>
      <c r="P43" s="1" t="str">
        <f>IFERROR(ROUND(Sheet1!L50/Sheet1!H50*M43,0),"")</f>
        <v/>
      </c>
      <c r="Q43" s="1" t="str">
        <f>IFERROR(ROUND(Sheet1!L50/Sheet1!H50*100,2),"")</f>
        <v/>
      </c>
      <c r="S43" s="1" t="str">
        <f>IFERROR(ROUND(Sheet1!M50/Sheet1!H50*M43,0),"")</f>
        <v/>
      </c>
      <c r="T43" s="1" t="str">
        <f>IFERROR(ROUND(Sheet1!M50/Sheet1!H50*100,2),"")</f>
        <v/>
      </c>
      <c r="V43" s="1" t="str">
        <f>IFERROR(ROUND(Sheet1!O50/Sheet1!H50*M43,0),"")</f>
        <v/>
      </c>
      <c r="W43" s="1" t="str">
        <f>IFERROR(ROUND(Sheet1!O50/Sheet1!H50*100,2),"")</f>
        <v/>
      </c>
      <c r="AA43" s="1" t="str">
        <f>IFERROR(ROUND(Sheet1!P50/Sheet1!H50*100,2),"")</f>
        <v/>
      </c>
      <c r="AC43" s="1" t="str">
        <f>IFERROR(ROUND(Sheet1!N50/Sheet1!H50*100,2),"")</f>
        <v/>
      </c>
      <c r="AE43" s="1" t="str">
        <f>IFERROR(ROUND(Sheet1!Q50/Sheet1!H50*M43,0),"")</f>
        <v/>
      </c>
      <c r="AF43" s="1" t="str">
        <f>IFERROR(ROUND(Sheet1!Q50/Sheet1!H50*100,2),"")</f>
        <v/>
      </c>
      <c r="AH43" s="1" t="str">
        <f>IFERROR(ROUND(Sheet1!R50/Sheet1!H50*M43,0),"")</f>
        <v/>
      </c>
      <c r="AI43" s="1" t="str">
        <f>IFERROR(ROUND(Sheet1!R50/Sheet1!H50*100,2),"")</f>
        <v/>
      </c>
      <c r="AK43" s="1" t="str">
        <f t="shared" si="2"/>
        <v/>
      </c>
      <c r="AL43" s="1" t="str">
        <f>IFERROR(ROUND(Sheet1!U50/Sheet1!S50*M43,0),"")</f>
        <v/>
      </c>
      <c r="AM43" s="1" t="str">
        <f>IFERROR(ROUND(Sheet1!U50/Sheet1!T50*100,2),"")</f>
        <v/>
      </c>
      <c r="AQ43" s="1" t="str">
        <f>IFERROR(ROUND(Sheet1!W50/Sheet1!V50*M43,0),"")</f>
        <v/>
      </c>
      <c r="AR43" s="1" t="str">
        <f>IFERROR(ROUND(Sheet1!W50/Sheet1!V50*100,2),"")</f>
        <v/>
      </c>
      <c r="AT43" s="1" t="str">
        <f>IFERROR(ROUND(Sheet1!Y50/Sheet1!V50*M43,0),"")</f>
        <v/>
      </c>
      <c r="AU43" s="1" t="str">
        <f>IFERROR(ROUND(Sheet1!Y50/Sheet1!V50*100,2),"")</f>
        <v/>
      </c>
      <c r="AW43" s="1" t="str">
        <f>IFERROR(ROUND(Sheet1!X50/Sheet1!V50*M43,0),"")</f>
        <v/>
      </c>
      <c r="AX43" s="1" t="str">
        <f>IFERROR(ROUND(Sheet1!X50/Sheet1!V50*100,2),"")</f>
        <v/>
      </c>
      <c r="AZ43" s="1" t="str">
        <f>IFERROR(ROUND(Sheet1!Z50/Sheet1!V50*M43,0),"")</f>
        <v/>
      </c>
      <c r="BA43" s="1" t="str">
        <f>IFERROR(ROUND(Sheet1!Z50/Sheet1!V50*100,2),"")</f>
        <v/>
      </c>
      <c r="BC43" s="1" t="str">
        <f>IFERROR(ROUND(Sheet1!AB50/Sheet1!AA50*Sheet1!D50,0),"")</f>
        <v/>
      </c>
      <c r="BD43" s="1" t="str">
        <f>IFERROR(ROUND(Sheet1!AB50/Sheet1!AA50*100,2),"")</f>
        <v/>
      </c>
      <c r="BF43" s="1" t="str">
        <f>IFERROR(ROUND(Sheet1!AD50/Sheet1!AA50*Sheet1!D50,0),"")</f>
        <v/>
      </c>
      <c r="BG43" s="1" t="str">
        <f>IFERROR(ROUND(Sheet1!AC50/Sheet1!AA50*100,2),"")</f>
        <v/>
      </c>
      <c r="BI43" s="1" t="str">
        <f>IFERROR(ROUND(Sheet1!AC50/Sheet1!AA50*Sheet1!D50,0),"")</f>
        <v/>
      </c>
      <c r="BJ43" s="1" t="str">
        <f>IFERROR(ROUND(Sheet1!AD50/Sheet1!AA50*100,2),"")</f>
        <v/>
      </c>
    </row>
    <row r="44" spans="1:62">
      <c r="A44" s="2" t="str">
        <f>IF(Sheet1!B51="","",Sheet1!B51)</f>
        <v/>
      </c>
      <c r="B44" s="2" t="str">
        <f>IF(Sheet1!C51="","",Sheet1!C51)</f>
        <v/>
      </c>
      <c r="C44" s="40" t="str">
        <f>IF(Sheet1!D51="","",Sheet1!D51)</f>
        <v/>
      </c>
      <c r="D44" s="1" t="str">
        <f>IFERROR(ROUND(Sheet1!D51*Sheet1!F51/Sheet1!E51,2),"")</f>
        <v/>
      </c>
      <c r="E44" s="1" t="str">
        <f>IFERROR(ROUND(Sheet1!F51/Sheet1!E51*100,2),"")</f>
        <v/>
      </c>
      <c r="G44" s="1" t="str">
        <f>IFERROR(ROUND(Sheet1!D51*Sheet1!J51/Sheet1!G51,0),"")</f>
        <v/>
      </c>
      <c r="H44" s="1" t="str">
        <f>IFERROR(ROUND(Sheet1!J51/Sheet1!G51*100,2),"")</f>
        <v/>
      </c>
      <c r="J44" s="1" t="str">
        <f>IFERROR(ROUND(Sheet1!D51*Sheet1!K51/Sheet1!G51,0),"")</f>
        <v/>
      </c>
      <c r="K44" s="1" t="str">
        <f>IFERROR(ROUND(Sheet1!K51/Sheet1!G51*100,2),"")</f>
        <v/>
      </c>
      <c r="M44" s="1" t="str">
        <f>IFERROR(ROUND(Sheet1!D51*Sheet1!I51/Sheet1!G51,0),"")</f>
        <v/>
      </c>
      <c r="N44" s="1" t="str">
        <f>IFERROR(ROUND(Sheet1!I51/Sheet1!G51*100,2),"")</f>
        <v/>
      </c>
      <c r="P44" s="1" t="str">
        <f>IFERROR(ROUND(Sheet1!L51/Sheet1!H51*M44,0),"")</f>
        <v/>
      </c>
      <c r="Q44" s="1" t="str">
        <f>IFERROR(ROUND(Sheet1!L51/Sheet1!H51*100,2),"")</f>
        <v/>
      </c>
      <c r="S44" s="1" t="str">
        <f>IFERROR(ROUND(Sheet1!M51/Sheet1!H51*M44,0),"")</f>
        <v/>
      </c>
      <c r="T44" s="1" t="str">
        <f>IFERROR(ROUND(Sheet1!M51/Sheet1!H51*100,2),"")</f>
        <v/>
      </c>
      <c r="V44" s="1" t="str">
        <f>IFERROR(ROUND(Sheet1!O51/Sheet1!H51*M44,0),"")</f>
        <v/>
      </c>
      <c r="W44" s="1" t="str">
        <f>IFERROR(ROUND(Sheet1!O51/Sheet1!H51*100,2),"")</f>
        <v/>
      </c>
      <c r="AA44" s="1" t="str">
        <f>IFERROR(ROUND(Sheet1!P51/Sheet1!H51*100,2),"")</f>
        <v/>
      </c>
      <c r="AC44" s="1" t="str">
        <f>IFERROR(ROUND(Sheet1!N51/Sheet1!H51*100,2),"")</f>
        <v/>
      </c>
      <c r="AE44" s="1" t="str">
        <f>IFERROR(ROUND(Sheet1!Q51/Sheet1!H51*M44,0),"")</f>
        <v/>
      </c>
      <c r="AF44" s="1" t="str">
        <f>IFERROR(ROUND(Sheet1!Q51/Sheet1!H51*100,2),"")</f>
        <v/>
      </c>
      <c r="AH44" s="1" t="str">
        <f>IFERROR(ROUND(Sheet1!R51/Sheet1!H51*M44,0),"")</f>
        <v/>
      </c>
      <c r="AI44" s="1" t="str">
        <f>IFERROR(ROUND(Sheet1!R51/Sheet1!H51*100,2),"")</f>
        <v/>
      </c>
      <c r="AK44" s="1" t="str">
        <f t="shared" si="2"/>
        <v/>
      </c>
      <c r="AL44" s="1" t="str">
        <f>IFERROR(ROUND(Sheet1!U51/Sheet1!S51*M44,0),"")</f>
        <v/>
      </c>
      <c r="AM44" s="1" t="str">
        <f>IFERROR(ROUND(Sheet1!U51/Sheet1!T51*100,2),"")</f>
        <v/>
      </c>
      <c r="AQ44" s="1" t="str">
        <f>IFERROR(ROUND(Sheet1!W51/Sheet1!V51*M44,0),"")</f>
        <v/>
      </c>
      <c r="AR44" s="1" t="str">
        <f>IFERROR(ROUND(Sheet1!W51/Sheet1!V51*100,2),"")</f>
        <v/>
      </c>
      <c r="AT44" s="1" t="str">
        <f>IFERROR(ROUND(Sheet1!Y51/Sheet1!V51*M44,0),"")</f>
        <v/>
      </c>
      <c r="AU44" s="1" t="str">
        <f>IFERROR(ROUND(Sheet1!Y51/Sheet1!V51*100,2),"")</f>
        <v/>
      </c>
      <c r="AW44" s="1" t="str">
        <f>IFERROR(ROUND(Sheet1!X51/Sheet1!V51*M44,0),"")</f>
        <v/>
      </c>
      <c r="AX44" s="1" t="str">
        <f>IFERROR(ROUND(Sheet1!X51/Sheet1!V51*100,2),"")</f>
        <v/>
      </c>
      <c r="AZ44" s="1" t="str">
        <f>IFERROR(ROUND(Sheet1!Z51/Sheet1!V51*M44,0),"")</f>
        <v/>
      </c>
      <c r="BA44" s="1" t="str">
        <f>IFERROR(ROUND(Sheet1!Z51/Sheet1!V51*100,2),"")</f>
        <v/>
      </c>
      <c r="BC44" s="1" t="str">
        <f>IFERROR(ROUND(Sheet1!AB51/Sheet1!AA51*Sheet1!D51,0),"")</f>
        <v/>
      </c>
      <c r="BD44" s="1" t="str">
        <f>IFERROR(ROUND(Sheet1!AB51/Sheet1!AA51*100,2),"")</f>
        <v/>
      </c>
      <c r="BF44" s="1" t="str">
        <f>IFERROR(ROUND(Sheet1!AD51/Sheet1!AA51*Sheet1!D51,0),"")</f>
        <v/>
      </c>
      <c r="BG44" s="1" t="str">
        <f>IFERROR(ROUND(Sheet1!AC51/Sheet1!AA51*100,2),"")</f>
        <v/>
      </c>
      <c r="BI44" s="1" t="str">
        <f>IFERROR(ROUND(Sheet1!AC51/Sheet1!AA51*Sheet1!D51,0),"")</f>
        <v/>
      </c>
      <c r="BJ44" s="1" t="str">
        <f>IFERROR(ROUND(Sheet1!AD51/Sheet1!AA51*100,2),"")</f>
        <v/>
      </c>
    </row>
    <row r="45" spans="1:62">
      <c r="A45" s="2" t="str">
        <f>IF(Sheet1!B52="","",Sheet1!B52)</f>
        <v/>
      </c>
      <c r="B45" s="2" t="str">
        <f>IF(Sheet1!C52="","",Sheet1!C52)</f>
        <v/>
      </c>
      <c r="C45" s="40" t="str">
        <f>IF(Sheet1!D52="","",Sheet1!D52)</f>
        <v/>
      </c>
      <c r="D45" s="1" t="str">
        <f>IFERROR(ROUND(Sheet1!D52*Sheet1!F52/Sheet1!E52,2),"")</f>
        <v/>
      </c>
      <c r="E45" s="1" t="str">
        <f>IFERROR(ROUND(Sheet1!F52/Sheet1!E52*100,2),"")</f>
        <v/>
      </c>
      <c r="G45" s="1" t="str">
        <f>IFERROR(ROUND(Sheet1!D52*Sheet1!J52/Sheet1!G52,0),"")</f>
        <v/>
      </c>
      <c r="H45" s="1" t="str">
        <f>IFERROR(ROUND(Sheet1!J52/Sheet1!G52*100,2),"")</f>
        <v/>
      </c>
      <c r="J45" s="1" t="str">
        <f>IFERROR(ROUND(Sheet1!D52*Sheet1!K52/Sheet1!G52,0),"")</f>
        <v/>
      </c>
      <c r="K45" s="1" t="str">
        <f>IFERROR(ROUND(Sheet1!K52/Sheet1!G52*100,2),"")</f>
        <v/>
      </c>
      <c r="M45" s="1" t="str">
        <f>IFERROR(ROUND(Sheet1!D52*Sheet1!I52/Sheet1!G52,0),"")</f>
        <v/>
      </c>
      <c r="N45" s="1" t="str">
        <f>IFERROR(ROUND(Sheet1!I52/Sheet1!G52*100,2),"")</f>
        <v/>
      </c>
      <c r="P45" s="1" t="str">
        <f>IFERROR(ROUND(Sheet1!L52/Sheet1!H52*M45,0),"")</f>
        <v/>
      </c>
      <c r="Q45" s="1" t="str">
        <f>IFERROR(ROUND(Sheet1!L52/Sheet1!H52*100,2),"")</f>
        <v/>
      </c>
      <c r="S45" s="1" t="str">
        <f>IFERROR(ROUND(Sheet1!M52/Sheet1!H52*M45,0),"")</f>
        <v/>
      </c>
      <c r="T45" s="1" t="str">
        <f>IFERROR(ROUND(Sheet1!M52/Sheet1!H52*100,2),"")</f>
        <v/>
      </c>
      <c r="V45" s="1" t="str">
        <f>IFERROR(ROUND(Sheet1!O52/Sheet1!H52*M45,0),"")</f>
        <v/>
      </c>
      <c r="W45" s="1" t="str">
        <f>IFERROR(ROUND(Sheet1!O52/Sheet1!H52*100,2),"")</f>
        <v/>
      </c>
      <c r="AA45" s="1" t="str">
        <f>IFERROR(ROUND(Sheet1!P52/Sheet1!H52*100,2),"")</f>
        <v/>
      </c>
      <c r="AC45" s="1" t="str">
        <f>IFERROR(ROUND(Sheet1!N52/Sheet1!H52*100,2),"")</f>
        <v/>
      </c>
      <c r="AE45" s="1" t="str">
        <f>IFERROR(ROUND(Sheet1!Q52/Sheet1!H52*M45,0),"")</f>
        <v/>
      </c>
      <c r="AF45" s="1" t="str">
        <f>IFERROR(ROUND(Sheet1!Q52/Sheet1!H52*100,2),"")</f>
        <v/>
      </c>
      <c r="AH45" s="1" t="str">
        <f>IFERROR(ROUND(Sheet1!R52/Sheet1!H52*M45,0),"")</f>
        <v/>
      </c>
      <c r="AI45" s="1" t="str">
        <f>IFERROR(ROUND(Sheet1!R52/Sheet1!H52*100,2),"")</f>
        <v/>
      </c>
      <c r="AK45" s="1" t="str">
        <f t="shared" si="2"/>
        <v/>
      </c>
      <c r="AL45" s="1" t="str">
        <f>IFERROR(ROUND(Sheet1!U52/Sheet1!S52*M45,0),"")</f>
        <v/>
      </c>
      <c r="AM45" s="1" t="str">
        <f>IFERROR(ROUND(Sheet1!U52/Sheet1!T52*100,2),"")</f>
        <v/>
      </c>
      <c r="AQ45" s="1" t="str">
        <f>IFERROR(ROUND(Sheet1!W52/Sheet1!V52*M45,0),"")</f>
        <v/>
      </c>
      <c r="AR45" s="1" t="str">
        <f>IFERROR(ROUND(Sheet1!W52/Sheet1!V52*100,2),"")</f>
        <v/>
      </c>
      <c r="AT45" s="1" t="str">
        <f>IFERROR(ROUND(Sheet1!Y52/Sheet1!V52*M45,0),"")</f>
        <v/>
      </c>
      <c r="AU45" s="1" t="str">
        <f>IFERROR(ROUND(Sheet1!Y52/Sheet1!V52*100,2),"")</f>
        <v/>
      </c>
      <c r="AW45" s="1" t="str">
        <f>IFERROR(ROUND(Sheet1!X52/Sheet1!V52*M45,0),"")</f>
        <v/>
      </c>
      <c r="AX45" s="1" t="str">
        <f>IFERROR(ROUND(Sheet1!X52/Sheet1!V52*100,2),"")</f>
        <v/>
      </c>
      <c r="AZ45" s="1" t="str">
        <f>IFERROR(ROUND(Sheet1!Z52/Sheet1!V52*M45,0),"")</f>
        <v/>
      </c>
      <c r="BA45" s="1" t="str">
        <f>IFERROR(ROUND(Sheet1!Z52/Sheet1!V52*100,2),"")</f>
        <v/>
      </c>
      <c r="BC45" s="1" t="str">
        <f>IFERROR(ROUND(Sheet1!AB52/Sheet1!AA52*Sheet1!D52,0),"")</f>
        <v/>
      </c>
      <c r="BD45" s="1" t="str">
        <f>IFERROR(ROUND(Sheet1!AB52/Sheet1!AA52*100,2),"")</f>
        <v/>
      </c>
      <c r="BF45" s="1" t="str">
        <f>IFERROR(ROUND(Sheet1!AD52/Sheet1!AA52*Sheet1!D52,0),"")</f>
        <v/>
      </c>
      <c r="BG45" s="1" t="str">
        <f>IFERROR(ROUND(Sheet1!AC52/Sheet1!AA52*100,2),"")</f>
        <v/>
      </c>
      <c r="BI45" s="1" t="str">
        <f>IFERROR(ROUND(Sheet1!AC52/Sheet1!AA52*Sheet1!D52,0),"")</f>
        <v/>
      </c>
      <c r="BJ45" s="1" t="str">
        <f>IFERROR(ROUND(Sheet1!AD52/Sheet1!AA52*100,2),"")</f>
        <v/>
      </c>
    </row>
    <row r="46" spans="1:62">
      <c r="A46" s="2" t="str">
        <f>IF(Sheet1!B53="","",Sheet1!B53)</f>
        <v/>
      </c>
      <c r="B46" s="2" t="str">
        <f>IF(Sheet1!C53="","",Sheet1!C53)</f>
        <v/>
      </c>
      <c r="C46" s="40" t="str">
        <f>IF(Sheet1!D53="","",Sheet1!D53)</f>
        <v/>
      </c>
      <c r="D46" s="1" t="str">
        <f>IFERROR(ROUND(Sheet1!D53*Sheet1!F53/Sheet1!E53,2),"")</f>
        <v/>
      </c>
      <c r="E46" s="1" t="str">
        <f>IFERROR(ROUND(Sheet1!F53/Sheet1!E53*100,2),"")</f>
        <v/>
      </c>
      <c r="G46" s="1" t="str">
        <f>IFERROR(ROUND(Sheet1!D53*Sheet1!J53/Sheet1!G53,0),"")</f>
        <v/>
      </c>
      <c r="H46" s="1" t="str">
        <f>IFERROR(ROUND(Sheet1!J53/Sheet1!G53*100,2),"")</f>
        <v/>
      </c>
      <c r="J46" s="1" t="str">
        <f>IFERROR(ROUND(Sheet1!D53*Sheet1!K53/Sheet1!G53,0),"")</f>
        <v/>
      </c>
      <c r="K46" s="1" t="str">
        <f>IFERROR(ROUND(Sheet1!K53/Sheet1!G53*100,2),"")</f>
        <v/>
      </c>
      <c r="M46" s="1" t="str">
        <f>IFERROR(ROUND(Sheet1!D53*Sheet1!I53/Sheet1!G53,0),"")</f>
        <v/>
      </c>
      <c r="N46" s="1" t="str">
        <f>IFERROR(ROUND(Sheet1!I53/Sheet1!G53*100,2),"")</f>
        <v/>
      </c>
      <c r="P46" s="1" t="str">
        <f>IFERROR(ROUND(Sheet1!L53/Sheet1!H53*M46,0),"")</f>
        <v/>
      </c>
      <c r="Q46" s="1" t="str">
        <f>IFERROR(ROUND(Sheet1!L53/Sheet1!H53*100,2),"")</f>
        <v/>
      </c>
      <c r="S46" s="1" t="str">
        <f>IFERROR(ROUND(Sheet1!M53/Sheet1!H53*M46,0),"")</f>
        <v/>
      </c>
      <c r="T46" s="1" t="str">
        <f>IFERROR(ROUND(Sheet1!M53/Sheet1!H53*100,2),"")</f>
        <v/>
      </c>
      <c r="V46" s="1" t="str">
        <f>IFERROR(ROUND(Sheet1!O53/Sheet1!H53*M46,0),"")</f>
        <v/>
      </c>
      <c r="W46" s="1" t="str">
        <f>IFERROR(ROUND(Sheet1!O53/Sheet1!H53*100,2),"")</f>
        <v/>
      </c>
      <c r="AA46" s="1" t="str">
        <f>IFERROR(ROUND(Sheet1!P53/Sheet1!H53*100,2),"")</f>
        <v/>
      </c>
      <c r="AC46" s="1" t="str">
        <f>IFERROR(ROUND(Sheet1!N53/Sheet1!H53*100,2),"")</f>
        <v/>
      </c>
      <c r="AE46" s="1" t="str">
        <f>IFERROR(ROUND(Sheet1!Q53/Sheet1!H53*M46,0),"")</f>
        <v/>
      </c>
      <c r="AF46" s="1" t="str">
        <f>IFERROR(ROUND(Sheet1!Q53/Sheet1!H53*100,2),"")</f>
        <v/>
      </c>
      <c r="AH46" s="1" t="str">
        <f>IFERROR(ROUND(Sheet1!R53/Sheet1!H53*M46,0),"")</f>
        <v/>
      </c>
      <c r="AI46" s="1" t="str">
        <f>IFERROR(ROUND(Sheet1!R53/Sheet1!H53*100,2),"")</f>
        <v/>
      </c>
      <c r="AK46" s="1" t="str">
        <f t="shared" si="2"/>
        <v/>
      </c>
      <c r="AL46" s="1" t="str">
        <f>IFERROR(ROUND(Sheet1!U53/Sheet1!S53*M46,0),"")</f>
        <v/>
      </c>
      <c r="AM46" s="1" t="str">
        <f>IFERROR(ROUND(Sheet1!U53/Sheet1!T53*100,2),"")</f>
        <v/>
      </c>
      <c r="AQ46" s="1" t="str">
        <f>IFERROR(ROUND(Sheet1!W53/Sheet1!V53*M46,0),"")</f>
        <v/>
      </c>
      <c r="AR46" s="1" t="str">
        <f>IFERROR(ROUND(Sheet1!W53/Sheet1!V53*100,2),"")</f>
        <v/>
      </c>
      <c r="AT46" s="1" t="str">
        <f>IFERROR(ROUND(Sheet1!Y53/Sheet1!V53*M46,0),"")</f>
        <v/>
      </c>
      <c r="AU46" s="1" t="str">
        <f>IFERROR(ROUND(Sheet1!Y53/Sheet1!V53*100,2),"")</f>
        <v/>
      </c>
      <c r="AW46" s="1" t="str">
        <f>IFERROR(ROUND(Sheet1!X53/Sheet1!V53*M46,0),"")</f>
        <v/>
      </c>
      <c r="AX46" s="1" t="str">
        <f>IFERROR(ROUND(Sheet1!X53/Sheet1!V53*100,2),"")</f>
        <v/>
      </c>
      <c r="AZ46" s="1" t="str">
        <f>IFERROR(ROUND(Sheet1!Z53/Sheet1!V53*M46,0),"")</f>
        <v/>
      </c>
      <c r="BA46" s="1" t="str">
        <f>IFERROR(ROUND(Sheet1!Z53/Sheet1!V53*100,2),"")</f>
        <v/>
      </c>
      <c r="BC46" s="1" t="str">
        <f>IFERROR(ROUND(Sheet1!AB53/Sheet1!AA53*Sheet1!D53,0),"")</f>
        <v/>
      </c>
      <c r="BD46" s="1" t="str">
        <f>IFERROR(ROUND(Sheet1!AB53/Sheet1!AA53*100,2),"")</f>
        <v/>
      </c>
      <c r="BF46" s="1" t="str">
        <f>IFERROR(ROUND(Sheet1!AD53/Sheet1!AA53*Sheet1!D53,0),"")</f>
        <v/>
      </c>
      <c r="BG46" s="1" t="str">
        <f>IFERROR(ROUND(Sheet1!AC53/Sheet1!AA53*100,2),"")</f>
        <v/>
      </c>
      <c r="BI46" s="1" t="str">
        <f>IFERROR(ROUND(Sheet1!AC53/Sheet1!AA53*Sheet1!D53,0),"")</f>
        <v/>
      </c>
      <c r="BJ46" s="1" t="str">
        <f>IFERROR(ROUND(Sheet1!AD53/Sheet1!AA53*100,2),"")</f>
        <v/>
      </c>
    </row>
    <row r="47" spans="1:62">
      <c r="A47" s="2" t="str">
        <f>IF(Sheet1!B54="","",Sheet1!B54)</f>
        <v/>
      </c>
      <c r="B47" s="2" t="str">
        <f>IF(Sheet1!C54="","",Sheet1!C54)</f>
        <v/>
      </c>
      <c r="C47" s="40" t="str">
        <f>IF(Sheet1!D54="","",Sheet1!D54)</f>
        <v/>
      </c>
      <c r="D47" s="1" t="str">
        <f>IFERROR(ROUND(Sheet1!D54*Sheet1!F54/Sheet1!E54,2),"")</f>
        <v/>
      </c>
      <c r="E47" s="1" t="str">
        <f>IFERROR(ROUND(Sheet1!F54/Sheet1!E54*100,2),"")</f>
        <v/>
      </c>
      <c r="G47" s="1" t="str">
        <f>IFERROR(ROUND(Sheet1!D54*Sheet1!J54/Sheet1!G54,0),"")</f>
        <v/>
      </c>
      <c r="H47" s="1" t="str">
        <f>IFERROR(ROUND(Sheet1!J54/Sheet1!G54*100,2),"")</f>
        <v/>
      </c>
      <c r="J47" s="1" t="str">
        <f>IFERROR(ROUND(Sheet1!D54*Sheet1!K54/Sheet1!G54,0),"")</f>
        <v/>
      </c>
      <c r="K47" s="1" t="str">
        <f>IFERROR(ROUND(Sheet1!K54/Sheet1!G54*100,2),"")</f>
        <v/>
      </c>
      <c r="M47" s="1" t="str">
        <f>IFERROR(ROUND(Sheet1!D54*Sheet1!I54/Sheet1!G54,0),"")</f>
        <v/>
      </c>
      <c r="N47" s="1" t="str">
        <f>IFERROR(ROUND(Sheet1!I54/Sheet1!G54*100,2),"")</f>
        <v/>
      </c>
      <c r="P47" s="1" t="str">
        <f>IFERROR(ROUND(Sheet1!L54/Sheet1!H54*M47,0),"")</f>
        <v/>
      </c>
      <c r="Q47" s="1" t="str">
        <f>IFERROR(ROUND(Sheet1!L54/Sheet1!H54*100,2),"")</f>
        <v/>
      </c>
      <c r="S47" s="1" t="str">
        <f>IFERROR(ROUND(Sheet1!M54/Sheet1!H54*M47,0),"")</f>
        <v/>
      </c>
      <c r="T47" s="1" t="str">
        <f>IFERROR(ROUND(Sheet1!M54/Sheet1!H54*100,2),"")</f>
        <v/>
      </c>
      <c r="V47" s="1" t="str">
        <f>IFERROR(ROUND(Sheet1!O54/Sheet1!H54*M47,0),"")</f>
        <v/>
      </c>
      <c r="W47" s="1" t="str">
        <f>IFERROR(ROUND(Sheet1!O54/Sheet1!H54*100,2),"")</f>
        <v/>
      </c>
      <c r="AA47" s="1" t="str">
        <f>IFERROR(ROUND(Sheet1!P54/Sheet1!H54*100,2),"")</f>
        <v/>
      </c>
      <c r="AC47" s="1" t="str">
        <f>IFERROR(ROUND(Sheet1!N54/Sheet1!H54*100,2),"")</f>
        <v/>
      </c>
      <c r="AE47" s="1" t="str">
        <f>IFERROR(ROUND(Sheet1!Q54/Sheet1!H54*M47,0),"")</f>
        <v/>
      </c>
      <c r="AF47" s="1" t="str">
        <f>IFERROR(ROUND(Sheet1!Q54/Sheet1!H54*100,2),"")</f>
        <v/>
      </c>
      <c r="AH47" s="1" t="str">
        <f>IFERROR(ROUND(Sheet1!R54/Sheet1!H54*M47,0),"")</f>
        <v/>
      </c>
      <c r="AI47" s="1" t="str">
        <f>IFERROR(ROUND(Sheet1!R54/Sheet1!H54*100,2),"")</f>
        <v/>
      </c>
      <c r="AK47" s="1" t="str">
        <f t="shared" si="2"/>
        <v/>
      </c>
      <c r="AL47" s="1" t="str">
        <f>IFERROR(ROUND(Sheet1!U54/Sheet1!S54*M47,0),"")</f>
        <v/>
      </c>
      <c r="AM47" s="1" t="str">
        <f>IFERROR(ROUND(Sheet1!U54/Sheet1!T54*100,2),"")</f>
        <v/>
      </c>
      <c r="AQ47" s="1" t="str">
        <f>IFERROR(ROUND(Sheet1!W54/Sheet1!V54*M47,0),"")</f>
        <v/>
      </c>
      <c r="AR47" s="1" t="str">
        <f>IFERROR(ROUND(Sheet1!W54/Sheet1!V54*100,2),"")</f>
        <v/>
      </c>
      <c r="AT47" s="1" t="str">
        <f>IFERROR(ROUND(Sheet1!Y54/Sheet1!V54*M47,0),"")</f>
        <v/>
      </c>
      <c r="AU47" s="1" t="str">
        <f>IFERROR(ROUND(Sheet1!Y54/Sheet1!V54*100,2),"")</f>
        <v/>
      </c>
      <c r="AW47" s="1" t="str">
        <f>IFERROR(ROUND(Sheet1!X54/Sheet1!V54*M47,0),"")</f>
        <v/>
      </c>
      <c r="AX47" s="1" t="str">
        <f>IFERROR(ROUND(Sheet1!X54/Sheet1!V54*100,2),"")</f>
        <v/>
      </c>
      <c r="AZ47" s="1" t="str">
        <f>IFERROR(ROUND(Sheet1!Z54/Sheet1!V54*M47,0),"")</f>
        <v/>
      </c>
      <c r="BA47" s="1" t="str">
        <f>IFERROR(ROUND(Sheet1!Z54/Sheet1!V54*100,2),"")</f>
        <v/>
      </c>
      <c r="BC47" s="1" t="str">
        <f>IFERROR(ROUND(Sheet1!AB54/Sheet1!AA54*Sheet1!D54,0),"")</f>
        <v/>
      </c>
      <c r="BD47" s="1" t="str">
        <f>IFERROR(ROUND(Sheet1!AB54/Sheet1!AA54*100,2),"")</f>
        <v/>
      </c>
      <c r="BF47" s="1" t="str">
        <f>IFERROR(ROUND(Sheet1!AD54/Sheet1!AA54*Sheet1!D54,0),"")</f>
        <v/>
      </c>
      <c r="BG47" s="1" t="str">
        <f>IFERROR(ROUND(Sheet1!AC54/Sheet1!AA54*100,2),"")</f>
        <v/>
      </c>
      <c r="BI47" s="1" t="str">
        <f>IFERROR(ROUND(Sheet1!AC54/Sheet1!AA54*Sheet1!D54,0),"")</f>
        <v/>
      </c>
      <c r="BJ47" s="1" t="str">
        <f>IFERROR(ROUND(Sheet1!AD54/Sheet1!AA54*100,2),"")</f>
        <v/>
      </c>
    </row>
    <row r="48" spans="1:62">
      <c r="A48" s="2" t="str">
        <f>IF(Sheet1!B55="","",Sheet1!B55)</f>
        <v/>
      </c>
      <c r="B48" s="2" t="str">
        <f>IF(Sheet1!C55="","",Sheet1!C55)</f>
        <v/>
      </c>
      <c r="C48" s="40" t="str">
        <f>IF(Sheet1!D55="","",Sheet1!D55)</f>
        <v/>
      </c>
      <c r="D48" s="1" t="str">
        <f>IFERROR(ROUND(Sheet1!D55*Sheet1!F55/Sheet1!E55,2),"")</f>
        <v/>
      </c>
      <c r="E48" s="1" t="str">
        <f>IFERROR(ROUND(Sheet1!F55/Sheet1!E55*100,2),"")</f>
        <v/>
      </c>
      <c r="G48" s="1" t="str">
        <f>IFERROR(ROUND(Sheet1!D55*Sheet1!J55/Sheet1!G55,0),"")</f>
        <v/>
      </c>
      <c r="H48" s="1" t="str">
        <f>IFERROR(ROUND(Sheet1!J55/Sheet1!G55*100,2),"")</f>
        <v/>
      </c>
      <c r="J48" s="1" t="str">
        <f>IFERROR(ROUND(Sheet1!D55*Sheet1!K55/Sheet1!G55,0),"")</f>
        <v/>
      </c>
      <c r="K48" s="1" t="str">
        <f>IFERROR(ROUND(Sheet1!K55/Sheet1!G55*100,2),"")</f>
        <v/>
      </c>
      <c r="M48" s="1" t="str">
        <f>IFERROR(ROUND(Sheet1!D55*Sheet1!I55/Sheet1!G55,0),"")</f>
        <v/>
      </c>
      <c r="N48" s="1" t="str">
        <f>IFERROR(ROUND(Sheet1!I55/Sheet1!G55*100,2),"")</f>
        <v/>
      </c>
      <c r="P48" s="1" t="str">
        <f>IFERROR(ROUND(Sheet1!L55/Sheet1!H55*M48,0),"")</f>
        <v/>
      </c>
      <c r="Q48" s="1" t="str">
        <f>IFERROR(ROUND(Sheet1!L55/Sheet1!H55*100,2),"")</f>
        <v/>
      </c>
      <c r="S48" s="1" t="str">
        <f>IFERROR(ROUND(Sheet1!M55/Sheet1!H55*M48,0),"")</f>
        <v/>
      </c>
      <c r="T48" s="1" t="str">
        <f>IFERROR(ROUND(Sheet1!M55/Sheet1!H55*100,2),"")</f>
        <v/>
      </c>
      <c r="V48" s="1" t="str">
        <f>IFERROR(ROUND(Sheet1!O55/Sheet1!H55*M48,0),"")</f>
        <v/>
      </c>
      <c r="W48" s="1" t="str">
        <f>IFERROR(ROUND(Sheet1!O55/Sheet1!H55*100,2),"")</f>
        <v/>
      </c>
      <c r="AA48" s="1" t="str">
        <f>IFERROR(ROUND(Sheet1!P55/Sheet1!H55*100,2),"")</f>
        <v/>
      </c>
      <c r="AC48" s="1" t="str">
        <f>IFERROR(ROUND(Sheet1!N55/Sheet1!H55*100,2),"")</f>
        <v/>
      </c>
      <c r="AE48" s="1" t="str">
        <f>IFERROR(ROUND(Sheet1!Q55/Sheet1!H55*M48,0),"")</f>
        <v/>
      </c>
      <c r="AF48" s="1" t="str">
        <f>IFERROR(ROUND(Sheet1!Q55/Sheet1!H55*100,2),"")</f>
        <v/>
      </c>
      <c r="AH48" s="1" t="str">
        <f>IFERROR(ROUND(Sheet1!R55/Sheet1!H55*M48,0),"")</f>
        <v/>
      </c>
      <c r="AI48" s="1" t="str">
        <f>IFERROR(ROUND(Sheet1!R55/Sheet1!H55*100,2),"")</f>
        <v/>
      </c>
      <c r="AK48" s="1" t="str">
        <f t="shared" si="2"/>
        <v/>
      </c>
      <c r="AL48" s="1" t="str">
        <f>IFERROR(ROUND(Sheet1!U55/Sheet1!S55*M48,0),"")</f>
        <v/>
      </c>
      <c r="AM48" s="1" t="str">
        <f>IFERROR(ROUND(Sheet1!U55/Sheet1!T55*100,2),"")</f>
        <v/>
      </c>
      <c r="AQ48" s="1" t="str">
        <f>IFERROR(ROUND(Sheet1!W55/Sheet1!V55*M48,0),"")</f>
        <v/>
      </c>
      <c r="AR48" s="1" t="str">
        <f>IFERROR(ROUND(Sheet1!W55/Sheet1!V55*100,2),"")</f>
        <v/>
      </c>
      <c r="AT48" s="1" t="str">
        <f>IFERROR(ROUND(Sheet1!Y55/Sheet1!V55*M48,0),"")</f>
        <v/>
      </c>
      <c r="AU48" s="1" t="str">
        <f>IFERROR(ROUND(Sheet1!Y55/Sheet1!V55*100,2),"")</f>
        <v/>
      </c>
      <c r="AW48" s="1" t="str">
        <f>IFERROR(ROUND(Sheet1!X55/Sheet1!V55*M48,0),"")</f>
        <v/>
      </c>
      <c r="AX48" s="1" t="str">
        <f>IFERROR(ROUND(Sheet1!X55/Sheet1!V55*100,2),"")</f>
        <v/>
      </c>
      <c r="AZ48" s="1" t="str">
        <f>IFERROR(ROUND(Sheet1!Z55/Sheet1!V55*M48,0),"")</f>
        <v/>
      </c>
      <c r="BA48" s="1" t="str">
        <f>IFERROR(ROUND(Sheet1!Z55/Sheet1!V55*100,2),"")</f>
        <v/>
      </c>
      <c r="BC48" s="1" t="str">
        <f>IFERROR(ROUND(Sheet1!AB55/Sheet1!AA55*Sheet1!D55,0),"")</f>
        <v/>
      </c>
      <c r="BD48" s="1" t="str">
        <f>IFERROR(ROUND(Sheet1!AB55/Sheet1!AA55*100,2),"")</f>
        <v/>
      </c>
      <c r="BF48" s="1" t="str">
        <f>IFERROR(ROUND(Sheet1!AD55/Sheet1!AA55*Sheet1!D55,0),"")</f>
        <v/>
      </c>
      <c r="BG48" s="1" t="str">
        <f>IFERROR(ROUND(Sheet1!AC55/Sheet1!AA55*100,2),"")</f>
        <v/>
      </c>
      <c r="BI48" s="1" t="str">
        <f>IFERROR(ROUND(Sheet1!AC55/Sheet1!AA55*Sheet1!D55,0),"")</f>
        <v/>
      </c>
      <c r="BJ48" s="1" t="str">
        <f>IFERROR(ROUND(Sheet1!AD55/Sheet1!AA55*100,2),"")</f>
        <v/>
      </c>
    </row>
    <row r="49" spans="1:62">
      <c r="A49" s="2" t="str">
        <f>IF(Sheet1!B56="","",Sheet1!B56)</f>
        <v/>
      </c>
      <c r="B49" s="2" t="str">
        <f>IF(Sheet1!C56="","",Sheet1!C56)</f>
        <v/>
      </c>
      <c r="C49" s="40" t="str">
        <f>IF(Sheet1!D56="","",Sheet1!D56)</f>
        <v/>
      </c>
      <c r="D49" s="1" t="str">
        <f>IFERROR(ROUND(Sheet1!D56*Sheet1!F56/Sheet1!E56,2),"")</f>
        <v/>
      </c>
      <c r="E49" s="1" t="str">
        <f>IFERROR(ROUND(Sheet1!F56/Sheet1!E56*100,2),"")</f>
        <v/>
      </c>
      <c r="G49" s="1" t="str">
        <f>IFERROR(ROUND(Sheet1!D56*Sheet1!J56/Sheet1!G56,0),"")</f>
        <v/>
      </c>
      <c r="H49" s="1" t="str">
        <f>IFERROR(ROUND(Sheet1!J56/Sheet1!G56*100,2),"")</f>
        <v/>
      </c>
      <c r="J49" s="1" t="str">
        <f>IFERROR(ROUND(Sheet1!D56*Sheet1!K56/Sheet1!G56,0),"")</f>
        <v/>
      </c>
      <c r="K49" s="1" t="str">
        <f>IFERROR(ROUND(Sheet1!K56/Sheet1!G56*100,2),"")</f>
        <v/>
      </c>
      <c r="M49" s="1" t="str">
        <f>IFERROR(ROUND(Sheet1!D56*Sheet1!I56/Sheet1!G56,0),"")</f>
        <v/>
      </c>
      <c r="N49" s="1" t="str">
        <f>IFERROR(ROUND(Sheet1!I56/Sheet1!G56*100,2),"")</f>
        <v/>
      </c>
      <c r="P49" s="1" t="str">
        <f>IFERROR(ROUND(Sheet1!L56/Sheet1!H56*M49,0),"")</f>
        <v/>
      </c>
      <c r="Q49" s="1" t="str">
        <f>IFERROR(ROUND(Sheet1!L56/Sheet1!H56*100,2),"")</f>
        <v/>
      </c>
      <c r="S49" s="1" t="str">
        <f>IFERROR(ROUND(Sheet1!M56/Sheet1!H56*M49,0),"")</f>
        <v/>
      </c>
      <c r="T49" s="1" t="str">
        <f>IFERROR(ROUND(Sheet1!M56/Sheet1!H56*100,2),"")</f>
        <v/>
      </c>
      <c r="V49" s="1" t="str">
        <f>IFERROR(ROUND(Sheet1!O56/Sheet1!H56*M49,0),"")</f>
        <v/>
      </c>
      <c r="W49" s="1" t="str">
        <f>IFERROR(ROUND(Sheet1!O56/Sheet1!H56*100,2),"")</f>
        <v/>
      </c>
      <c r="AA49" s="1" t="str">
        <f>IFERROR(ROUND(Sheet1!P56/Sheet1!H56*100,2),"")</f>
        <v/>
      </c>
      <c r="AC49" s="1" t="str">
        <f>IFERROR(ROUND(Sheet1!N56/Sheet1!H56*100,2),"")</f>
        <v/>
      </c>
      <c r="AE49" s="1" t="str">
        <f>IFERROR(ROUND(Sheet1!Q56/Sheet1!H56*M49,0),"")</f>
        <v/>
      </c>
      <c r="AF49" s="1" t="str">
        <f>IFERROR(ROUND(Sheet1!Q56/Sheet1!H56*100,2),"")</f>
        <v/>
      </c>
      <c r="AH49" s="1" t="str">
        <f>IFERROR(ROUND(Sheet1!R56/Sheet1!H56*M49,0),"")</f>
        <v/>
      </c>
      <c r="AI49" s="1" t="str">
        <f>IFERROR(ROUND(Sheet1!R56/Sheet1!H56*100,2),"")</f>
        <v/>
      </c>
      <c r="AK49" s="1" t="str">
        <f t="shared" si="2"/>
        <v/>
      </c>
      <c r="AL49" s="1" t="str">
        <f>IFERROR(ROUND(Sheet1!U56/Sheet1!S56*M49,0),"")</f>
        <v/>
      </c>
      <c r="AM49" s="1" t="str">
        <f>IFERROR(ROUND(Sheet1!U56/Sheet1!T56*100,2),"")</f>
        <v/>
      </c>
      <c r="AQ49" s="1" t="str">
        <f>IFERROR(ROUND(Sheet1!W56/Sheet1!V56*M49,0),"")</f>
        <v/>
      </c>
      <c r="AR49" s="1" t="str">
        <f>IFERROR(ROUND(Sheet1!W56/Sheet1!V56*100,2),"")</f>
        <v/>
      </c>
      <c r="AT49" s="1" t="str">
        <f>IFERROR(ROUND(Sheet1!Y56/Sheet1!V56*M49,0),"")</f>
        <v/>
      </c>
      <c r="AU49" s="1" t="str">
        <f>IFERROR(ROUND(Sheet1!Y56/Sheet1!V56*100,2),"")</f>
        <v/>
      </c>
      <c r="AW49" s="1" t="str">
        <f>IFERROR(ROUND(Sheet1!X56/Sheet1!V56*M49,0),"")</f>
        <v/>
      </c>
      <c r="AX49" s="1" t="str">
        <f>IFERROR(ROUND(Sheet1!X56/Sheet1!V56*100,2),"")</f>
        <v/>
      </c>
      <c r="AZ49" s="1" t="str">
        <f>IFERROR(ROUND(Sheet1!Z56/Sheet1!V56*M49,0),"")</f>
        <v/>
      </c>
      <c r="BA49" s="1" t="str">
        <f>IFERROR(ROUND(Sheet1!Z56/Sheet1!V56*100,2),"")</f>
        <v/>
      </c>
      <c r="BC49" s="1" t="str">
        <f>IFERROR(ROUND(Sheet1!AB56/Sheet1!AA56*Sheet1!D56,0),"")</f>
        <v/>
      </c>
      <c r="BD49" s="1" t="str">
        <f>IFERROR(ROUND(Sheet1!AB56/Sheet1!AA56*100,2),"")</f>
        <v/>
      </c>
      <c r="BF49" s="1" t="str">
        <f>IFERROR(ROUND(Sheet1!AD56/Sheet1!AA56*Sheet1!D56,0),"")</f>
        <v/>
      </c>
      <c r="BG49" s="1" t="str">
        <f>IFERROR(ROUND(Sheet1!AC56/Sheet1!AA56*100,2),"")</f>
        <v/>
      </c>
      <c r="BI49" s="1" t="str">
        <f>IFERROR(ROUND(Sheet1!AC56/Sheet1!AA56*Sheet1!D56,0),"")</f>
        <v/>
      </c>
      <c r="BJ49" s="1" t="str">
        <f>IFERROR(ROUND(Sheet1!AD56/Sheet1!AA56*100,2),"")</f>
        <v/>
      </c>
    </row>
    <row r="50" spans="1:62">
      <c r="A50" s="2" t="str">
        <f>IF(Sheet1!B57="","",Sheet1!B57)</f>
        <v/>
      </c>
      <c r="B50" s="2" t="str">
        <f>IF(Sheet1!C57="","",Sheet1!C57)</f>
        <v/>
      </c>
      <c r="C50" s="40" t="str">
        <f>IF(Sheet1!D57="","",Sheet1!D57)</f>
        <v/>
      </c>
      <c r="D50" s="1" t="str">
        <f>IFERROR(ROUND(Sheet1!D57*Sheet1!F57/Sheet1!E57,2),"")</f>
        <v/>
      </c>
      <c r="E50" s="1" t="str">
        <f>IFERROR(ROUND(Sheet1!F57/Sheet1!E57*100,2),"")</f>
        <v/>
      </c>
      <c r="G50" s="1" t="str">
        <f>IFERROR(ROUND(Sheet1!D57*Sheet1!J57/Sheet1!G57,0),"")</f>
        <v/>
      </c>
      <c r="H50" s="1" t="str">
        <f>IFERROR(ROUND(Sheet1!J57/Sheet1!G57*100,2),"")</f>
        <v/>
      </c>
      <c r="J50" s="1" t="str">
        <f>IFERROR(ROUND(Sheet1!D57*Sheet1!K57/Sheet1!G57,0),"")</f>
        <v/>
      </c>
      <c r="K50" s="1" t="str">
        <f>IFERROR(ROUND(Sheet1!K57/Sheet1!G57*100,2),"")</f>
        <v/>
      </c>
      <c r="M50" s="1" t="str">
        <f>IFERROR(ROUND(Sheet1!D57*Sheet1!I57/Sheet1!G57,0),"")</f>
        <v/>
      </c>
      <c r="N50" s="1" t="str">
        <f>IFERROR(ROUND(Sheet1!I57/Sheet1!G57*100,2),"")</f>
        <v/>
      </c>
      <c r="P50" s="1" t="str">
        <f>IFERROR(ROUND(Sheet1!L57/Sheet1!H57*M50,0),"")</f>
        <v/>
      </c>
      <c r="Q50" s="1" t="str">
        <f>IFERROR(ROUND(Sheet1!L57/Sheet1!H57*100,2),"")</f>
        <v/>
      </c>
      <c r="S50" s="1" t="str">
        <f>IFERROR(ROUND(Sheet1!M57/Sheet1!H57*M50,0),"")</f>
        <v/>
      </c>
      <c r="T50" s="1" t="str">
        <f>IFERROR(ROUND(Sheet1!M57/Sheet1!H57*100,2),"")</f>
        <v/>
      </c>
      <c r="V50" s="1" t="str">
        <f>IFERROR(ROUND(Sheet1!O57/Sheet1!H57*M50,0),"")</f>
        <v/>
      </c>
      <c r="W50" s="1" t="str">
        <f>IFERROR(ROUND(Sheet1!O57/Sheet1!H57*100,2),"")</f>
        <v/>
      </c>
      <c r="AA50" s="1" t="str">
        <f>IFERROR(ROUND(Sheet1!P57/Sheet1!H57*100,2),"")</f>
        <v/>
      </c>
      <c r="AC50" s="1" t="str">
        <f>IFERROR(ROUND(Sheet1!N57/Sheet1!H57*100,2),"")</f>
        <v/>
      </c>
      <c r="AE50" s="1" t="str">
        <f>IFERROR(ROUND(Sheet1!Q57/Sheet1!H57*M50,0),"")</f>
        <v/>
      </c>
      <c r="AF50" s="1" t="str">
        <f>IFERROR(ROUND(Sheet1!Q57/Sheet1!H57*100,2),"")</f>
        <v/>
      </c>
      <c r="AH50" s="1" t="str">
        <f>IFERROR(ROUND(Sheet1!R57/Sheet1!H57*M50,0),"")</f>
        <v/>
      </c>
      <c r="AI50" s="1" t="str">
        <f>IFERROR(ROUND(Sheet1!R57/Sheet1!H57*100,2),"")</f>
        <v/>
      </c>
      <c r="AK50" s="1" t="str">
        <f t="shared" ref="AK50:AK54" si="3">IFERROR(ROUND(AF50/AI50,2),"")</f>
        <v/>
      </c>
      <c r="AL50" s="1" t="str">
        <f>IFERROR(ROUND(Sheet1!U57/Sheet1!S57*M50,0),"")</f>
        <v/>
      </c>
      <c r="AM50" s="1" t="str">
        <f>IFERROR(ROUND(Sheet1!U57/Sheet1!T57*100,2),"")</f>
        <v/>
      </c>
      <c r="AQ50" s="1" t="str">
        <f>IFERROR(ROUND(Sheet1!W57/Sheet1!V57*M50,0),"")</f>
        <v/>
      </c>
      <c r="AR50" s="1" t="str">
        <f>IFERROR(ROUND(Sheet1!W57/Sheet1!V57*100,2),"")</f>
        <v/>
      </c>
      <c r="AT50" s="1" t="str">
        <f>IFERROR(ROUND(Sheet1!Y57/Sheet1!V57*M50,0),"")</f>
        <v/>
      </c>
      <c r="AU50" s="1" t="str">
        <f>IFERROR(ROUND(Sheet1!Y57/Sheet1!V57*100,2),"")</f>
        <v/>
      </c>
      <c r="AW50" s="1" t="str">
        <f>IFERROR(ROUND(Sheet1!X57/Sheet1!V57*M50,0),"")</f>
        <v/>
      </c>
      <c r="AX50" s="1" t="str">
        <f>IFERROR(ROUND(Sheet1!X57/Sheet1!V57*100,2),"")</f>
        <v/>
      </c>
      <c r="AZ50" s="1" t="str">
        <f>IFERROR(ROUND(Sheet1!Z57/Sheet1!V57*M50,0),"")</f>
        <v/>
      </c>
      <c r="BA50" s="1" t="str">
        <f>IFERROR(ROUND(Sheet1!Z57/Sheet1!V57*100,2),"")</f>
        <v/>
      </c>
      <c r="BC50" s="1" t="str">
        <f>IFERROR(ROUND(Sheet1!AB57/Sheet1!AA57*Sheet1!D57,0),"")</f>
        <v/>
      </c>
      <c r="BD50" s="1" t="str">
        <f>IFERROR(ROUND(Sheet1!AB57/Sheet1!AA57*100,2),"")</f>
        <v/>
      </c>
      <c r="BF50" s="1" t="str">
        <f>IFERROR(ROUND(Sheet1!AD57/Sheet1!AA57*Sheet1!D57,0),"")</f>
        <v/>
      </c>
      <c r="BG50" s="1" t="str">
        <f>IFERROR(ROUND(Sheet1!AC57/Sheet1!AA57*100,2),"")</f>
        <v/>
      </c>
      <c r="BI50" s="1" t="str">
        <f>IFERROR(ROUND(Sheet1!AC57/Sheet1!AA57*Sheet1!D57,0),"")</f>
        <v/>
      </c>
      <c r="BJ50" s="1" t="str">
        <f>IFERROR(ROUND(Sheet1!AD57/Sheet1!AA57*100,2),"")</f>
        <v/>
      </c>
    </row>
    <row r="51" spans="1:62">
      <c r="A51" s="2" t="str">
        <f>IF(Sheet1!B58="","",Sheet1!B58)</f>
        <v/>
      </c>
      <c r="B51" s="2" t="str">
        <f>IF(Sheet1!C58="","",Sheet1!C58)</f>
        <v/>
      </c>
      <c r="C51" s="40" t="str">
        <f>IF(Sheet1!D58="","",Sheet1!D58)</f>
        <v/>
      </c>
      <c r="D51" s="1" t="str">
        <f>IFERROR(ROUND(Sheet1!D58*Sheet1!F58/Sheet1!E58,2),"")</f>
        <v/>
      </c>
      <c r="E51" s="1" t="str">
        <f>IFERROR(ROUND(Sheet1!F58/Sheet1!E58*100,2),"")</f>
        <v/>
      </c>
      <c r="G51" s="1" t="str">
        <f>IFERROR(ROUND(Sheet1!D58*Sheet1!J58/Sheet1!G58,0),"")</f>
        <v/>
      </c>
      <c r="H51" s="1" t="str">
        <f>IFERROR(ROUND(Sheet1!J58/Sheet1!G58*100,2),"")</f>
        <v/>
      </c>
      <c r="J51" s="1" t="str">
        <f>IFERROR(ROUND(Sheet1!D58*Sheet1!K58/Sheet1!G58,0),"")</f>
        <v/>
      </c>
      <c r="K51" s="1" t="str">
        <f>IFERROR(ROUND(Sheet1!K58/Sheet1!G58*100,2),"")</f>
        <v/>
      </c>
      <c r="M51" s="1" t="str">
        <f>IFERROR(ROUND(Sheet1!D58*Sheet1!I58/Sheet1!G58,0),"")</f>
        <v/>
      </c>
      <c r="N51" s="1" t="str">
        <f>IFERROR(ROUND(Sheet1!I58/Sheet1!G58*100,2),"")</f>
        <v/>
      </c>
      <c r="P51" s="1" t="str">
        <f>IFERROR(ROUND(Sheet1!L58/Sheet1!H58*M51,0),"")</f>
        <v/>
      </c>
      <c r="Q51" s="1" t="str">
        <f>IFERROR(ROUND(Sheet1!L58/Sheet1!H58*100,2),"")</f>
        <v/>
      </c>
      <c r="S51" s="1" t="str">
        <f>IFERROR(ROUND(Sheet1!M58/Sheet1!H58*M51,0),"")</f>
        <v/>
      </c>
      <c r="T51" s="1" t="str">
        <f>IFERROR(ROUND(Sheet1!M58/Sheet1!H58*100,2),"")</f>
        <v/>
      </c>
      <c r="V51" s="1" t="str">
        <f>IFERROR(ROUND(Sheet1!O58/Sheet1!H58*M51,0),"")</f>
        <v/>
      </c>
      <c r="W51" s="1" t="str">
        <f>IFERROR(ROUND(Sheet1!O58/Sheet1!H58*100,2),"")</f>
        <v/>
      </c>
      <c r="AA51" s="1" t="str">
        <f>IFERROR(ROUND(Sheet1!P58/Sheet1!H58*100,2),"")</f>
        <v/>
      </c>
      <c r="AC51" s="1" t="str">
        <f>IFERROR(ROUND(Sheet1!N58/Sheet1!H58*100,2),"")</f>
        <v/>
      </c>
      <c r="AE51" s="1" t="str">
        <f>IFERROR(ROUND(Sheet1!Q58/Sheet1!H58*M51,0),"")</f>
        <v/>
      </c>
      <c r="AF51" s="1" t="str">
        <f>IFERROR(ROUND(Sheet1!Q58/Sheet1!H58*100,2),"")</f>
        <v/>
      </c>
      <c r="AH51" s="1" t="str">
        <f>IFERROR(ROUND(Sheet1!R58/Sheet1!H58*M51,0),"")</f>
        <v/>
      </c>
      <c r="AI51" s="1" t="str">
        <f>IFERROR(ROUND(Sheet1!R58/Sheet1!H58*100,2),"")</f>
        <v/>
      </c>
      <c r="AK51" s="1" t="str">
        <f t="shared" si="3"/>
        <v/>
      </c>
      <c r="AL51" s="1" t="str">
        <f>IFERROR(ROUND(Sheet1!U58/Sheet1!S58*M51,0),"")</f>
        <v/>
      </c>
      <c r="AM51" s="1" t="str">
        <f>IFERROR(ROUND(Sheet1!U58/Sheet1!T58*100,2),"")</f>
        <v/>
      </c>
      <c r="AQ51" s="1" t="str">
        <f>IFERROR(ROUND(Sheet1!W58/Sheet1!V58*M51,0),"")</f>
        <v/>
      </c>
      <c r="AR51" s="1" t="str">
        <f>IFERROR(ROUND(Sheet1!W58/Sheet1!V58*100,2),"")</f>
        <v/>
      </c>
      <c r="AT51" s="1" t="str">
        <f>IFERROR(ROUND(Sheet1!Y58/Sheet1!V58*M51,0),"")</f>
        <v/>
      </c>
      <c r="AU51" s="1" t="str">
        <f>IFERROR(ROUND(Sheet1!Y58/Sheet1!V58*100,2),"")</f>
        <v/>
      </c>
      <c r="AW51" s="1" t="str">
        <f>IFERROR(ROUND(Sheet1!X58/Sheet1!V58*M51,0),"")</f>
        <v/>
      </c>
      <c r="AX51" s="1" t="str">
        <f>IFERROR(ROUND(Sheet1!X58/Sheet1!V58*100,2),"")</f>
        <v/>
      </c>
      <c r="AZ51" s="1" t="str">
        <f>IFERROR(ROUND(Sheet1!Z58/Sheet1!V58*M51,0),"")</f>
        <v/>
      </c>
      <c r="BA51" s="1" t="str">
        <f>IFERROR(ROUND(Sheet1!Z58/Sheet1!V58*100,2),"")</f>
        <v/>
      </c>
      <c r="BC51" s="1" t="str">
        <f>IFERROR(ROUND(Sheet1!AB58/Sheet1!AA58*Sheet1!D58,0),"")</f>
        <v/>
      </c>
      <c r="BD51" s="1" t="str">
        <f>IFERROR(ROUND(Sheet1!AB58/Sheet1!AA58*100,2),"")</f>
        <v/>
      </c>
      <c r="BF51" s="1" t="str">
        <f>IFERROR(ROUND(Sheet1!AD58/Sheet1!AA58*Sheet1!D58,0),"")</f>
        <v/>
      </c>
      <c r="BG51" s="1" t="str">
        <f>IFERROR(ROUND(Sheet1!AC58/Sheet1!AA58*100,2),"")</f>
        <v/>
      </c>
      <c r="BI51" s="1" t="str">
        <f>IFERROR(ROUND(Sheet1!AC58/Sheet1!AA58*Sheet1!D58,0),"")</f>
        <v/>
      </c>
      <c r="BJ51" s="1" t="str">
        <f>IFERROR(ROUND(Sheet1!AD58/Sheet1!AA58*100,2),"")</f>
        <v/>
      </c>
    </row>
    <row r="52" spans="1:62">
      <c r="A52" s="2" t="str">
        <f>IF(Sheet1!B59="","",Sheet1!B59)</f>
        <v/>
      </c>
      <c r="B52" s="2" t="str">
        <f>IF(Sheet1!C59="","",Sheet1!C59)</f>
        <v/>
      </c>
      <c r="C52" s="40" t="str">
        <f>IF(Sheet1!D59="","",Sheet1!D59)</f>
        <v/>
      </c>
      <c r="D52" s="1" t="str">
        <f>IFERROR(ROUND(Sheet1!D59*Sheet1!F59/Sheet1!E59,2),"")</f>
        <v/>
      </c>
      <c r="E52" s="1" t="str">
        <f>IFERROR(ROUND(Sheet1!F59/Sheet1!E59*100,2),"")</f>
        <v/>
      </c>
      <c r="G52" s="1" t="str">
        <f>IFERROR(ROUND(Sheet1!D59*Sheet1!J59/Sheet1!G59,0),"")</f>
        <v/>
      </c>
      <c r="H52" s="1" t="str">
        <f>IFERROR(ROUND(Sheet1!J59/Sheet1!G59*100,2),"")</f>
        <v/>
      </c>
      <c r="J52" s="1" t="str">
        <f>IFERROR(ROUND(Sheet1!D59*Sheet1!K59/Sheet1!G59,0),"")</f>
        <v/>
      </c>
      <c r="K52" s="1" t="str">
        <f>IFERROR(ROUND(Sheet1!K59/Sheet1!G59*100,2),"")</f>
        <v/>
      </c>
      <c r="M52" s="1" t="str">
        <f>IFERROR(ROUND(Sheet1!D59*Sheet1!I59/Sheet1!G59,0),"")</f>
        <v/>
      </c>
      <c r="N52" s="1" t="str">
        <f>IFERROR(ROUND(Sheet1!I59/Sheet1!G59*100,2),"")</f>
        <v/>
      </c>
      <c r="P52" s="1" t="str">
        <f>IFERROR(ROUND(Sheet1!L59/Sheet1!H59*M52,0),"")</f>
        <v/>
      </c>
      <c r="Q52" s="1" t="str">
        <f>IFERROR(ROUND(Sheet1!L59/Sheet1!H59*100,2),"")</f>
        <v/>
      </c>
      <c r="S52" s="1" t="str">
        <f>IFERROR(ROUND(Sheet1!M59/Sheet1!H59*M52,0),"")</f>
        <v/>
      </c>
      <c r="T52" s="1" t="str">
        <f>IFERROR(ROUND(Sheet1!M59/Sheet1!H59*100,2),"")</f>
        <v/>
      </c>
      <c r="V52" s="1" t="str">
        <f>IFERROR(ROUND(Sheet1!O59/Sheet1!H59*M52,0),"")</f>
        <v/>
      </c>
      <c r="W52" s="1" t="str">
        <f>IFERROR(ROUND(Sheet1!O59/Sheet1!H59*100,2),"")</f>
        <v/>
      </c>
      <c r="AA52" s="1" t="str">
        <f>IFERROR(ROUND(Sheet1!P59/Sheet1!H59*100,2),"")</f>
        <v/>
      </c>
      <c r="AC52" s="1" t="str">
        <f>IFERROR(ROUND(Sheet1!N59/Sheet1!H59*100,2),"")</f>
        <v/>
      </c>
      <c r="AE52" s="1" t="str">
        <f>IFERROR(ROUND(Sheet1!Q59/Sheet1!H59*M52,0),"")</f>
        <v/>
      </c>
      <c r="AF52" s="1" t="str">
        <f>IFERROR(ROUND(Sheet1!Q59/Sheet1!H59*100,2),"")</f>
        <v/>
      </c>
      <c r="AH52" s="1" t="str">
        <f>IFERROR(ROUND(Sheet1!R59/Sheet1!H59*M52,0),"")</f>
        <v/>
      </c>
      <c r="AI52" s="1" t="str">
        <f>IFERROR(ROUND(Sheet1!R59/Sheet1!H59*100,2),"")</f>
        <v/>
      </c>
      <c r="AK52" s="1" t="str">
        <f t="shared" si="3"/>
        <v/>
      </c>
      <c r="AL52" s="1" t="str">
        <f>IFERROR(ROUND(Sheet1!U59/Sheet1!S59*M52,0),"")</f>
        <v/>
      </c>
      <c r="AM52" s="1" t="str">
        <f>IFERROR(ROUND(Sheet1!U59/Sheet1!T59*100,2),"")</f>
        <v/>
      </c>
      <c r="AQ52" s="1" t="str">
        <f>IFERROR(ROUND(Sheet1!W59/Sheet1!V59*M52,0),"")</f>
        <v/>
      </c>
      <c r="AR52" s="1" t="str">
        <f>IFERROR(ROUND(Sheet1!W59/Sheet1!V59*100,2),"")</f>
        <v/>
      </c>
      <c r="AT52" s="1" t="str">
        <f>IFERROR(ROUND(Sheet1!Y59/Sheet1!V59*M52,0),"")</f>
        <v/>
      </c>
      <c r="AU52" s="1" t="str">
        <f>IFERROR(ROUND(Sheet1!Y59/Sheet1!V59*100,2),"")</f>
        <v/>
      </c>
      <c r="AW52" s="1" t="str">
        <f>IFERROR(ROUND(Sheet1!X59/Sheet1!V59*M52,0),"")</f>
        <v/>
      </c>
      <c r="AX52" s="1" t="str">
        <f>IFERROR(ROUND(Sheet1!X59/Sheet1!V59*100,2),"")</f>
        <v/>
      </c>
      <c r="AZ52" s="1" t="str">
        <f>IFERROR(ROUND(Sheet1!Z59/Sheet1!V59*M52,0),"")</f>
        <v/>
      </c>
      <c r="BA52" s="1" t="str">
        <f>IFERROR(ROUND(Sheet1!Z59/Sheet1!V59*100,2),"")</f>
        <v/>
      </c>
      <c r="BC52" s="1" t="str">
        <f>IFERROR(ROUND(Sheet1!AB59/Sheet1!AA59*Sheet1!D59,0),"")</f>
        <v/>
      </c>
      <c r="BD52" s="1" t="str">
        <f>IFERROR(ROUND(Sheet1!AB59/Sheet1!AA59*100,2),"")</f>
        <v/>
      </c>
      <c r="BF52" s="1" t="str">
        <f>IFERROR(ROUND(Sheet1!AD59/Sheet1!AA59*Sheet1!D59,0),"")</f>
        <v/>
      </c>
      <c r="BG52" s="1" t="str">
        <f>IFERROR(ROUND(Sheet1!AC59/Sheet1!AA59*100,2),"")</f>
        <v/>
      </c>
      <c r="BI52" s="1" t="str">
        <f>IFERROR(ROUND(Sheet1!AC59/Sheet1!AA59*Sheet1!D59,0),"")</f>
        <v/>
      </c>
      <c r="BJ52" s="1" t="str">
        <f>IFERROR(ROUND(Sheet1!AD59/Sheet1!AA59*100,2),"")</f>
        <v/>
      </c>
    </row>
    <row r="53" spans="1:62">
      <c r="A53" s="2" t="str">
        <f>IF(Sheet1!B60="","",Sheet1!B60)</f>
        <v/>
      </c>
      <c r="B53" s="2" t="str">
        <f>IF(Sheet1!C60="","",Sheet1!C60)</f>
        <v/>
      </c>
      <c r="C53" s="40" t="str">
        <f>IF(Sheet1!D60="","",Sheet1!D60)</f>
        <v/>
      </c>
      <c r="D53" s="1" t="str">
        <f>IFERROR(ROUND(Sheet1!D60*Sheet1!F60/Sheet1!E60,2),"")</f>
        <v/>
      </c>
      <c r="E53" s="1" t="str">
        <f>IFERROR(ROUND(Sheet1!F60/Sheet1!E60*100,2),"")</f>
        <v/>
      </c>
      <c r="G53" s="1" t="str">
        <f>IFERROR(ROUND(Sheet1!D60*Sheet1!J60/Sheet1!G60,0),"")</f>
        <v/>
      </c>
      <c r="H53" s="1" t="str">
        <f>IFERROR(ROUND(Sheet1!J60/Sheet1!G60*100,2),"")</f>
        <v/>
      </c>
      <c r="J53" s="1" t="str">
        <f>IFERROR(ROUND(Sheet1!D60*Sheet1!K60/Sheet1!G60,0),"")</f>
        <v/>
      </c>
      <c r="K53" s="1" t="str">
        <f>IFERROR(ROUND(Sheet1!K60/Sheet1!G60*100,2),"")</f>
        <v/>
      </c>
      <c r="M53" s="1" t="str">
        <f>IFERROR(ROUND(Sheet1!D60*Sheet1!I60/Sheet1!G60,0),"")</f>
        <v/>
      </c>
      <c r="N53" s="1" t="str">
        <f>IFERROR(ROUND(Sheet1!I60/Sheet1!G60*100,2),"")</f>
        <v/>
      </c>
      <c r="P53" s="1" t="str">
        <f>IFERROR(ROUND(Sheet1!L60/Sheet1!H60*M53,0),"")</f>
        <v/>
      </c>
      <c r="Q53" s="1" t="str">
        <f>IFERROR(ROUND(Sheet1!L60/Sheet1!H60*100,2),"")</f>
        <v/>
      </c>
      <c r="S53" s="1" t="str">
        <f>IFERROR(ROUND(Sheet1!M60/Sheet1!H60*M53,0),"")</f>
        <v/>
      </c>
      <c r="T53" s="1" t="str">
        <f>IFERROR(ROUND(Sheet1!M60/Sheet1!H60*100,2),"")</f>
        <v/>
      </c>
      <c r="V53" s="1" t="str">
        <f>IFERROR(ROUND(Sheet1!O60/Sheet1!H60*M53,0),"")</f>
        <v/>
      </c>
      <c r="W53" s="1" t="str">
        <f>IFERROR(ROUND(Sheet1!O60/Sheet1!H60*100,2),"")</f>
        <v/>
      </c>
      <c r="AA53" s="1" t="str">
        <f>IFERROR(ROUND(Sheet1!P60/Sheet1!H60*100,2),"")</f>
        <v/>
      </c>
      <c r="AC53" s="1" t="str">
        <f>IFERROR(ROUND(Sheet1!N60/Sheet1!H60*100,2),"")</f>
        <v/>
      </c>
      <c r="AE53" s="1" t="str">
        <f>IFERROR(ROUND(Sheet1!Q60/Sheet1!H60*M53,0),"")</f>
        <v/>
      </c>
      <c r="AF53" s="1" t="str">
        <f>IFERROR(ROUND(Sheet1!Q60/Sheet1!H60*100,2),"")</f>
        <v/>
      </c>
      <c r="AH53" s="1" t="str">
        <f>IFERROR(ROUND(Sheet1!R60/Sheet1!H60*M53,0),"")</f>
        <v/>
      </c>
      <c r="AI53" s="1" t="str">
        <f>IFERROR(ROUND(Sheet1!R60/Sheet1!H60*100,2),"")</f>
        <v/>
      </c>
      <c r="AK53" s="1" t="str">
        <f t="shared" si="3"/>
        <v/>
      </c>
      <c r="AL53" s="1" t="str">
        <f>IFERROR(ROUND(Sheet1!U60/Sheet1!S60*M53,0),"")</f>
        <v/>
      </c>
      <c r="AM53" s="1" t="str">
        <f>IFERROR(ROUND(Sheet1!U60/Sheet1!T60*100,2),"")</f>
        <v/>
      </c>
      <c r="AQ53" s="1" t="str">
        <f>IFERROR(ROUND(Sheet1!W60/Sheet1!V60*M53,0),"")</f>
        <v/>
      </c>
      <c r="AR53" s="1" t="str">
        <f>IFERROR(ROUND(Sheet1!W60/Sheet1!V60*100,2),"")</f>
        <v/>
      </c>
      <c r="AT53" s="1" t="str">
        <f>IFERROR(ROUND(Sheet1!Y60/Sheet1!V60*M53,0),"")</f>
        <v/>
      </c>
      <c r="AU53" s="1" t="str">
        <f>IFERROR(ROUND(Sheet1!Y60/Sheet1!V60*100,2),"")</f>
        <v/>
      </c>
      <c r="AW53" s="1" t="str">
        <f>IFERROR(ROUND(Sheet1!X60/Sheet1!V60*M53,0),"")</f>
        <v/>
      </c>
      <c r="AX53" s="1" t="str">
        <f>IFERROR(ROUND(Sheet1!X60/Sheet1!V60*100,2),"")</f>
        <v/>
      </c>
      <c r="AZ53" s="1" t="str">
        <f>IFERROR(ROUND(Sheet1!Z60/Sheet1!V60*M53,0),"")</f>
        <v/>
      </c>
      <c r="BA53" s="1" t="str">
        <f>IFERROR(ROUND(Sheet1!Z60/Sheet1!V60*100,2),"")</f>
        <v/>
      </c>
      <c r="BC53" s="1" t="str">
        <f>IFERROR(ROUND(Sheet1!AB60/Sheet1!AA60*Sheet1!D60,0),"")</f>
        <v/>
      </c>
      <c r="BD53" s="1" t="str">
        <f>IFERROR(ROUND(Sheet1!AB60/Sheet1!AA60*100,2),"")</f>
        <v/>
      </c>
      <c r="BF53" s="1" t="str">
        <f>IFERROR(ROUND(Sheet1!AD60/Sheet1!AA60*Sheet1!D60,0),"")</f>
        <v/>
      </c>
      <c r="BG53" s="1" t="str">
        <f>IFERROR(ROUND(Sheet1!AC60/Sheet1!AA60*100,2),"")</f>
        <v/>
      </c>
      <c r="BI53" s="1" t="str">
        <f>IFERROR(ROUND(Sheet1!AC60/Sheet1!AA60*Sheet1!D60,0),"")</f>
        <v/>
      </c>
      <c r="BJ53" s="1" t="str">
        <f>IFERROR(ROUND(Sheet1!AD60/Sheet1!AA60*100,2),"")</f>
        <v/>
      </c>
    </row>
    <row r="54" spans="1:62">
      <c r="A54" s="2" t="str">
        <f>IF(Sheet1!B61="","",Sheet1!B61)</f>
        <v/>
      </c>
      <c r="B54" s="2" t="str">
        <f>IF(Sheet1!C61="","",Sheet1!C61)</f>
        <v/>
      </c>
      <c r="C54" s="40" t="str">
        <f>IF(Sheet1!D61="","",Sheet1!D61)</f>
        <v/>
      </c>
      <c r="D54" s="1" t="str">
        <f>IFERROR(ROUND(Sheet1!D61*Sheet1!F61/Sheet1!E61,2),"")</f>
        <v/>
      </c>
      <c r="E54" s="1" t="str">
        <f>IFERROR(ROUND(Sheet1!F61/Sheet1!E61*100,2),"")</f>
        <v/>
      </c>
      <c r="G54" s="1" t="str">
        <f>IFERROR(ROUND(Sheet1!D61*Sheet1!J61/Sheet1!G61,0),"")</f>
        <v/>
      </c>
      <c r="H54" s="1" t="str">
        <f>IFERROR(ROUND(Sheet1!J61/Sheet1!G61*100,2),"")</f>
        <v/>
      </c>
      <c r="J54" s="1" t="str">
        <f>IFERROR(ROUND(Sheet1!D61*Sheet1!K61/Sheet1!G61,0),"")</f>
        <v/>
      </c>
      <c r="K54" s="1" t="str">
        <f>IFERROR(ROUND(Sheet1!K61/Sheet1!G61*100,2),"")</f>
        <v/>
      </c>
      <c r="M54" s="1" t="str">
        <f>IFERROR(ROUND(Sheet1!D61*Sheet1!I61/Sheet1!G61,0),"")</f>
        <v/>
      </c>
      <c r="N54" s="1" t="str">
        <f>IFERROR(ROUND(Sheet1!I61/Sheet1!G61*100,2),"")</f>
        <v/>
      </c>
      <c r="P54" s="1" t="str">
        <f>IFERROR(ROUND(Sheet1!L61/Sheet1!H61*M54,0),"")</f>
        <v/>
      </c>
      <c r="Q54" s="1" t="str">
        <f>IFERROR(ROUND(Sheet1!L61/Sheet1!H61*100,2),"")</f>
        <v/>
      </c>
      <c r="S54" s="1" t="str">
        <f>IFERROR(ROUND(Sheet1!M61/Sheet1!H61*M54,0),"")</f>
        <v/>
      </c>
      <c r="T54" s="1" t="str">
        <f>IFERROR(ROUND(Sheet1!M61/Sheet1!H61*100,2),"")</f>
        <v/>
      </c>
      <c r="V54" s="1" t="str">
        <f>IFERROR(ROUND(Sheet1!O61/Sheet1!H61*M54,0),"")</f>
        <v/>
      </c>
      <c r="W54" s="1" t="str">
        <f>IFERROR(ROUND(Sheet1!O61/Sheet1!H61*100,2),"")</f>
        <v/>
      </c>
      <c r="AA54" s="1" t="str">
        <f>IFERROR(ROUND(Sheet1!P61/Sheet1!H61*100,2),"")</f>
        <v/>
      </c>
      <c r="AC54" s="1" t="str">
        <f>IFERROR(ROUND(Sheet1!N61/Sheet1!H61*100,2),"")</f>
        <v/>
      </c>
      <c r="AE54" s="1" t="str">
        <f>IFERROR(ROUND(Sheet1!Q61/Sheet1!H61*M54,0),"")</f>
        <v/>
      </c>
      <c r="AF54" s="1" t="str">
        <f>IFERROR(ROUND(Sheet1!Q61/Sheet1!H61*100,2),"")</f>
        <v/>
      </c>
      <c r="AH54" s="1" t="str">
        <f>IFERROR(ROUND(Sheet1!R61/Sheet1!H61*M54,0),"")</f>
        <v/>
      </c>
      <c r="AI54" s="1" t="str">
        <f>IFERROR(ROUND(Sheet1!R61/Sheet1!H61*100,2),"")</f>
        <v/>
      </c>
      <c r="AK54" s="1" t="str">
        <f t="shared" si="3"/>
        <v/>
      </c>
      <c r="AL54" s="1" t="str">
        <f>IFERROR(ROUND(Sheet1!U61/Sheet1!S61*M54,0),"")</f>
        <v/>
      </c>
      <c r="AM54" s="1" t="str">
        <f>IFERROR(ROUND(Sheet1!U61/Sheet1!T61*100,2),"")</f>
        <v/>
      </c>
      <c r="AQ54" s="1" t="str">
        <f>IFERROR(ROUND(Sheet1!W61/Sheet1!V61*M54,0),"")</f>
        <v/>
      </c>
      <c r="AR54" s="1" t="str">
        <f>IFERROR(ROUND(Sheet1!W61/Sheet1!V61*100,2),"")</f>
        <v/>
      </c>
      <c r="AT54" s="1" t="str">
        <f>IFERROR(ROUND(Sheet1!Y61/Sheet1!V61*M54,0),"")</f>
        <v/>
      </c>
      <c r="AU54" s="1" t="str">
        <f>IFERROR(ROUND(Sheet1!Y61/Sheet1!V61*100,2),"")</f>
        <v/>
      </c>
      <c r="AW54" s="1" t="str">
        <f>IFERROR(ROUND(Sheet1!X61/Sheet1!V61*M54,0),"")</f>
        <v/>
      </c>
      <c r="AX54" s="1" t="str">
        <f>IFERROR(ROUND(Sheet1!X61/Sheet1!V61*100,2),"")</f>
        <v/>
      </c>
      <c r="AZ54" s="1" t="str">
        <f>IFERROR(ROUND(Sheet1!Z61/Sheet1!V61*M54,0),"")</f>
        <v/>
      </c>
      <c r="BA54" s="1" t="str">
        <f>IFERROR(ROUND(Sheet1!Z61/Sheet1!V61*100,2),"")</f>
        <v/>
      </c>
      <c r="BC54" s="1" t="str">
        <f>IFERROR(ROUND(Sheet1!AB61/Sheet1!AA61*Sheet1!D61,0),"")</f>
        <v/>
      </c>
      <c r="BD54" s="1" t="str">
        <f>IFERROR(ROUND(Sheet1!AB61/Sheet1!AA61*100,2),"")</f>
        <v/>
      </c>
      <c r="BF54" s="1" t="str">
        <f>IFERROR(ROUND(Sheet1!AD61/Sheet1!AA61*Sheet1!D61,0),"")</f>
        <v/>
      </c>
      <c r="BG54" s="1" t="str">
        <f>IFERROR(ROUND(Sheet1!AC61/Sheet1!AA61*100,2),"")</f>
        <v/>
      </c>
      <c r="BI54" s="1" t="str">
        <f>IFERROR(ROUND(Sheet1!AC61/Sheet1!AA61*Sheet1!D61,0),"")</f>
        <v/>
      </c>
      <c r="BJ54" s="1" t="str">
        <f>IFERROR(ROUND(Sheet1!AD61/Sheet1!AA61*100,2),"")</f>
        <v/>
      </c>
    </row>
    <row r="55" spans="1:62">
      <c r="A55" s="2" t="str">
        <f>IF(Sheet1!B62="","",Sheet1!B62)</f>
        <v/>
      </c>
      <c r="B55" s="2" t="str">
        <f>IF(Sheet1!C62="","",Sheet1!C62)</f>
        <v/>
      </c>
      <c r="C55" s="40" t="str">
        <f>IF(Sheet1!D62="","",Sheet1!D62)</f>
        <v/>
      </c>
      <c r="D55" s="1" t="str">
        <f>IFERROR(ROUND(Sheet1!D62*Sheet1!F62/Sheet1!E62,2),"")</f>
        <v/>
      </c>
      <c r="E55" s="1" t="str">
        <f>IFERROR(ROUND(Sheet1!F62/Sheet1!E62*100,2),"")</f>
        <v/>
      </c>
      <c r="G55" s="1" t="str">
        <f>IFERROR(ROUND(Sheet1!D62*Sheet1!J62/Sheet1!G62,0),"")</f>
        <v/>
      </c>
      <c r="H55" s="1" t="str">
        <f>IFERROR(ROUND(Sheet1!J62/Sheet1!G62*100,2),"")</f>
        <v/>
      </c>
      <c r="J55" s="1" t="str">
        <f>IFERROR(ROUND(Sheet1!D62*Sheet1!K62/Sheet1!G62,0),"")</f>
        <v/>
      </c>
      <c r="K55" s="1" t="str">
        <f>IFERROR(ROUND(Sheet1!K62/Sheet1!G62*100,2),"")</f>
        <v/>
      </c>
      <c r="M55" s="1" t="str">
        <f>IFERROR(ROUND(Sheet1!D62*Sheet1!I62/Sheet1!G62,0),"")</f>
        <v/>
      </c>
      <c r="N55" s="1" t="str">
        <f>IFERROR(ROUND(Sheet1!I62/Sheet1!G62*100,2),"")</f>
        <v/>
      </c>
      <c r="P55" s="1" t="str">
        <f>IFERROR(ROUND(Sheet1!L62/Sheet1!H62*M55,0),"")</f>
        <v/>
      </c>
      <c r="Q55" s="1" t="str">
        <f>IFERROR(ROUND(Sheet1!L62/Sheet1!H62*100,2),"")</f>
        <v/>
      </c>
      <c r="S55" s="1" t="str">
        <f>IFERROR(ROUND(Sheet1!M62/Sheet1!H62*M55,0),"")</f>
        <v/>
      </c>
      <c r="T55" s="1" t="str">
        <f>IFERROR(ROUND(Sheet1!M62/Sheet1!H62*100,2),"")</f>
        <v/>
      </c>
      <c r="V55" s="1" t="str">
        <f>IFERROR(ROUND(Sheet1!O62/Sheet1!H62*M55,0),"")</f>
        <v/>
      </c>
      <c r="W55" s="1" t="str">
        <f>IFERROR(ROUND(Sheet1!O62/Sheet1!H62*100,2),"")</f>
        <v/>
      </c>
      <c r="AA55" s="1" t="str">
        <f>IFERROR(ROUND(Sheet1!P62/Sheet1!H62*100,2),"")</f>
        <v/>
      </c>
      <c r="AC55" s="1" t="str">
        <f>IFERROR(ROUND(Sheet1!N62/Sheet1!H62*100,2),"")</f>
        <v/>
      </c>
      <c r="AE55" s="1" t="str">
        <f>IFERROR(ROUND(Sheet1!Q62/Sheet1!H62*M55,0),"")</f>
        <v/>
      </c>
      <c r="AF55" s="1" t="str">
        <f>IFERROR(ROUND(Sheet1!Q62/Sheet1!H62*100,2),"")</f>
        <v/>
      </c>
      <c r="AH55" s="1" t="str">
        <f>IFERROR(ROUND(Sheet1!R62/Sheet1!H62*M55,0),"")</f>
        <v/>
      </c>
      <c r="AI55" s="1" t="str">
        <f>IFERROR(ROUND(Sheet1!R62/Sheet1!H62*100,2),"")</f>
        <v/>
      </c>
      <c r="AK55" s="1" t="str">
        <f t="shared" ref="AK55:AK69" si="4">IFERROR(ROUND(AF55/AI55,2),"")</f>
        <v/>
      </c>
      <c r="AL55" s="1" t="str">
        <f>IFERROR(ROUND(Sheet1!U62/Sheet1!S62*M55,0),"")</f>
        <v/>
      </c>
      <c r="AM55" s="1" t="str">
        <f>IFERROR(ROUND(Sheet1!U62/Sheet1!T62*100,2),"")</f>
        <v/>
      </c>
      <c r="AQ55" s="1" t="str">
        <f>IFERROR(ROUND(Sheet1!W62/Sheet1!V62*M55,0),"")</f>
        <v/>
      </c>
      <c r="AR55" s="1" t="str">
        <f>IFERROR(ROUND(Sheet1!W62/Sheet1!V62*100,2),"")</f>
        <v/>
      </c>
      <c r="AT55" s="1" t="str">
        <f>IFERROR(ROUND(Sheet1!Y62/Sheet1!V62*M55,0),"")</f>
        <v/>
      </c>
      <c r="AU55" s="1" t="str">
        <f>IFERROR(ROUND(Sheet1!Y62/Sheet1!V62*100,2),"")</f>
        <v/>
      </c>
      <c r="AW55" s="1" t="str">
        <f>IFERROR(ROUND(Sheet1!X62/Sheet1!V62*M55,0),"")</f>
        <v/>
      </c>
      <c r="AX55" s="1" t="str">
        <f>IFERROR(ROUND(Sheet1!X62/Sheet1!V62*100,2),"")</f>
        <v/>
      </c>
      <c r="AZ55" s="1" t="str">
        <f>IFERROR(ROUND(Sheet1!Z62/Sheet1!V62*M55,0),"")</f>
        <v/>
      </c>
      <c r="BA55" s="1" t="str">
        <f>IFERROR(ROUND(Sheet1!Z62/Sheet1!V62*100,2),"")</f>
        <v/>
      </c>
      <c r="BC55" s="1" t="str">
        <f>IFERROR(ROUND(Sheet1!AB62/Sheet1!AA62*Sheet1!D62,0),"")</f>
        <v/>
      </c>
      <c r="BD55" s="1" t="str">
        <f>IFERROR(ROUND(Sheet1!AB62/Sheet1!AA62*100,2),"")</f>
        <v/>
      </c>
      <c r="BF55" s="1" t="str">
        <f>IFERROR(ROUND(Sheet1!AD62/Sheet1!AA62*Sheet1!D62,0),"")</f>
        <v/>
      </c>
      <c r="BG55" s="1" t="str">
        <f>IFERROR(ROUND(Sheet1!AC62/Sheet1!AA62*100,2),"")</f>
        <v/>
      </c>
      <c r="BI55" s="1" t="str">
        <f>IFERROR(ROUND(Sheet1!AC62/Sheet1!AA62*Sheet1!D62,0),"")</f>
        <v/>
      </c>
      <c r="BJ55" s="1" t="str">
        <f>IFERROR(ROUND(Sheet1!AD62/Sheet1!AA62*100,2),"")</f>
        <v/>
      </c>
    </row>
    <row r="56" spans="1:62">
      <c r="A56" s="2" t="str">
        <f>IF(Sheet1!B63="","",Sheet1!B63)</f>
        <v/>
      </c>
      <c r="B56" s="2" t="str">
        <f>IF(Sheet1!C63="","",Sheet1!C63)</f>
        <v/>
      </c>
      <c r="C56" s="40" t="str">
        <f>IF(Sheet1!D63="","",Sheet1!D63)</f>
        <v/>
      </c>
      <c r="D56" s="1" t="str">
        <f>IFERROR(ROUND(Sheet1!D63*Sheet1!F63/Sheet1!E63,2),"")</f>
        <v/>
      </c>
      <c r="E56" s="1" t="str">
        <f>IFERROR(ROUND(Sheet1!F63/Sheet1!E63*100,2),"")</f>
        <v/>
      </c>
      <c r="G56" s="1" t="str">
        <f>IFERROR(ROUND(Sheet1!D63*Sheet1!J63/Sheet1!G63,0),"")</f>
        <v/>
      </c>
      <c r="H56" s="1" t="str">
        <f>IFERROR(ROUND(Sheet1!J63/Sheet1!G63*100,2),"")</f>
        <v/>
      </c>
      <c r="J56" s="1" t="str">
        <f>IFERROR(ROUND(Sheet1!D63*Sheet1!K63/Sheet1!G63,0),"")</f>
        <v/>
      </c>
      <c r="K56" s="1" t="str">
        <f>IFERROR(ROUND(Sheet1!K63/Sheet1!G63*100,2),"")</f>
        <v/>
      </c>
      <c r="M56" s="1" t="str">
        <f>IFERROR(ROUND(Sheet1!D63*Sheet1!I63/Sheet1!G63,0),"")</f>
        <v/>
      </c>
      <c r="N56" s="1" t="str">
        <f>IFERROR(ROUND(Sheet1!I63/Sheet1!G63*100,2),"")</f>
        <v/>
      </c>
      <c r="P56" s="1" t="str">
        <f>IFERROR(ROUND(Sheet1!L63/Sheet1!H63*M56,0),"")</f>
        <v/>
      </c>
      <c r="Q56" s="1" t="str">
        <f>IFERROR(ROUND(Sheet1!L63/Sheet1!H63*100,2),"")</f>
        <v/>
      </c>
      <c r="S56" s="1" t="str">
        <f>IFERROR(ROUND(Sheet1!M63/Sheet1!H63*M56,0),"")</f>
        <v/>
      </c>
      <c r="T56" s="1" t="str">
        <f>IFERROR(ROUND(Sheet1!M63/Sheet1!H63*100,2),"")</f>
        <v/>
      </c>
      <c r="V56" s="1" t="str">
        <f>IFERROR(ROUND(Sheet1!O63/Sheet1!H63*M56,0),"")</f>
        <v/>
      </c>
      <c r="W56" s="1" t="str">
        <f>IFERROR(ROUND(Sheet1!O63/Sheet1!H63*100,2),"")</f>
        <v/>
      </c>
      <c r="AA56" s="1" t="str">
        <f>IFERROR(ROUND(Sheet1!P63/Sheet1!H63*100,2),"")</f>
        <v/>
      </c>
      <c r="AC56" s="1" t="str">
        <f>IFERROR(ROUND(Sheet1!N63/Sheet1!H63*100,2),"")</f>
        <v/>
      </c>
      <c r="AE56" s="1" t="str">
        <f>IFERROR(ROUND(Sheet1!Q63/Sheet1!H63*M56,0),"")</f>
        <v/>
      </c>
      <c r="AF56" s="1" t="str">
        <f>IFERROR(ROUND(Sheet1!Q63/Sheet1!H63*100,2),"")</f>
        <v/>
      </c>
      <c r="AH56" s="1" t="str">
        <f>IFERROR(ROUND(Sheet1!R63/Sheet1!H63*M56,0),"")</f>
        <v/>
      </c>
      <c r="AI56" s="1" t="str">
        <f>IFERROR(ROUND(Sheet1!R63/Sheet1!H63*100,2),"")</f>
        <v/>
      </c>
      <c r="AK56" s="1" t="str">
        <f t="shared" si="4"/>
        <v/>
      </c>
      <c r="AL56" s="1" t="str">
        <f>IFERROR(ROUND(Sheet1!U63/Sheet1!S63*M56,0),"")</f>
        <v/>
      </c>
      <c r="AM56" s="1" t="str">
        <f>IFERROR(ROUND(Sheet1!U63/Sheet1!T63*100,2),"")</f>
        <v/>
      </c>
      <c r="AQ56" s="1" t="str">
        <f>IFERROR(ROUND(Sheet1!W63/Sheet1!V63*M56,0),"")</f>
        <v/>
      </c>
      <c r="AR56" s="1" t="str">
        <f>IFERROR(ROUND(Sheet1!W63/Sheet1!V63*100,2),"")</f>
        <v/>
      </c>
      <c r="AT56" s="1" t="str">
        <f>IFERROR(ROUND(Sheet1!Y63/Sheet1!V63*M56,0),"")</f>
        <v/>
      </c>
      <c r="AU56" s="1" t="str">
        <f>IFERROR(ROUND(Sheet1!Y63/Sheet1!V63*100,2),"")</f>
        <v/>
      </c>
      <c r="AW56" s="1" t="str">
        <f>IFERROR(ROUND(Sheet1!X63/Sheet1!V63*M56,0),"")</f>
        <v/>
      </c>
      <c r="AX56" s="1" t="str">
        <f>IFERROR(ROUND(Sheet1!X63/Sheet1!V63*100,2),"")</f>
        <v/>
      </c>
      <c r="AZ56" s="1" t="str">
        <f>IFERROR(ROUND(Sheet1!Z63/Sheet1!V63*M56,0),"")</f>
        <v/>
      </c>
      <c r="BA56" s="1" t="str">
        <f>IFERROR(ROUND(Sheet1!Z63/Sheet1!V63*100,2),"")</f>
        <v/>
      </c>
      <c r="BC56" s="1" t="str">
        <f>IFERROR(ROUND(Sheet1!AB63/Sheet1!AA63*Sheet1!D63,0),"")</f>
        <v/>
      </c>
      <c r="BD56" s="1" t="str">
        <f>IFERROR(ROUND(Sheet1!AB63/Sheet1!AA63*100,2),"")</f>
        <v/>
      </c>
      <c r="BF56" s="1" t="str">
        <f>IFERROR(ROUND(Sheet1!AD63/Sheet1!AA63*Sheet1!D63,0),"")</f>
        <v/>
      </c>
      <c r="BG56" s="1" t="str">
        <f>IFERROR(ROUND(Sheet1!AC63/Sheet1!AA63*100,2),"")</f>
        <v/>
      </c>
      <c r="BI56" s="1" t="str">
        <f>IFERROR(ROUND(Sheet1!AC63/Sheet1!AA63*Sheet1!D63,0),"")</f>
        <v/>
      </c>
      <c r="BJ56" s="1" t="str">
        <f>IFERROR(ROUND(Sheet1!AD63/Sheet1!AA63*100,2),"")</f>
        <v/>
      </c>
    </row>
    <row r="57" spans="1:62">
      <c r="A57" s="2" t="str">
        <f>IF(Sheet1!B64="","",Sheet1!B64)</f>
        <v/>
      </c>
      <c r="B57" s="2" t="str">
        <f>IF(Sheet1!C64="","",Sheet1!C64)</f>
        <v/>
      </c>
      <c r="C57" s="40" t="str">
        <f>IF(Sheet1!D64="","",Sheet1!D64)</f>
        <v/>
      </c>
      <c r="D57" s="1" t="str">
        <f>IFERROR(ROUND(Sheet1!D64*Sheet1!F64/Sheet1!E64,2),"")</f>
        <v/>
      </c>
      <c r="E57" s="1" t="str">
        <f>IFERROR(ROUND(Sheet1!F64/Sheet1!E64*100,2),"")</f>
        <v/>
      </c>
      <c r="G57" s="1" t="str">
        <f>IFERROR(ROUND(Sheet1!D64*Sheet1!J64/Sheet1!G64,0),"")</f>
        <v/>
      </c>
      <c r="H57" s="1" t="str">
        <f>IFERROR(ROUND(Sheet1!J64/Sheet1!G64*100,2),"")</f>
        <v/>
      </c>
      <c r="J57" s="1" t="str">
        <f>IFERROR(ROUND(Sheet1!D64*Sheet1!K64/Sheet1!G64,0),"")</f>
        <v/>
      </c>
      <c r="K57" s="1" t="str">
        <f>IFERROR(ROUND(Sheet1!K64/Sheet1!G64*100,2),"")</f>
        <v/>
      </c>
      <c r="M57" s="1" t="str">
        <f>IFERROR(ROUND(Sheet1!D64*Sheet1!I64/Sheet1!G64,0),"")</f>
        <v/>
      </c>
      <c r="N57" s="1" t="str">
        <f>IFERROR(ROUND(Sheet1!I64/Sheet1!G64*100,2),"")</f>
        <v/>
      </c>
      <c r="P57" s="1" t="str">
        <f>IFERROR(ROUND(Sheet1!L64/Sheet1!H64*M57,0),"")</f>
        <v/>
      </c>
      <c r="Q57" s="1" t="str">
        <f>IFERROR(ROUND(Sheet1!L64/Sheet1!H64*100,2),"")</f>
        <v/>
      </c>
      <c r="S57" s="1" t="str">
        <f>IFERROR(ROUND(Sheet1!M64/Sheet1!H64*M57,0),"")</f>
        <v/>
      </c>
      <c r="T57" s="1" t="str">
        <f>IFERROR(ROUND(Sheet1!M64/Sheet1!H64*100,2),"")</f>
        <v/>
      </c>
      <c r="V57" s="1" t="str">
        <f>IFERROR(ROUND(Sheet1!O64/Sheet1!H64*M57,0),"")</f>
        <v/>
      </c>
      <c r="W57" s="1" t="str">
        <f>IFERROR(ROUND(Sheet1!O64/Sheet1!H64*100,2),"")</f>
        <v/>
      </c>
      <c r="AA57" s="1" t="str">
        <f>IFERROR(ROUND(Sheet1!P64/Sheet1!H64*100,2),"")</f>
        <v/>
      </c>
      <c r="AC57" s="1" t="str">
        <f>IFERROR(ROUND(Sheet1!N64/Sheet1!H64*100,2),"")</f>
        <v/>
      </c>
      <c r="AE57" s="1" t="str">
        <f>IFERROR(ROUND(Sheet1!Q64/Sheet1!H64*M57,0),"")</f>
        <v/>
      </c>
      <c r="AF57" s="1" t="str">
        <f>IFERROR(ROUND(Sheet1!Q64/Sheet1!H64*100,2),"")</f>
        <v/>
      </c>
      <c r="AH57" s="1" t="str">
        <f>IFERROR(ROUND(Sheet1!R64/Sheet1!H64*M57,0),"")</f>
        <v/>
      </c>
      <c r="AI57" s="1" t="str">
        <f>IFERROR(ROUND(Sheet1!R64/Sheet1!H64*100,2),"")</f>
        <v/>
      </c>
      <c r="AK57" s="1" t="str">
        <f t="shared" si="4"/>
        <v/>
      </c>
      <c r="AL57" s="1" t="str">
        <f>IFERROR(ROUND(Sheet1!U64/Sheet1!S64*M57,0),"")</f>
        <v/>
      </c>
      <c r="AM57" s="1" t="str">
        <f>IFERROR(ROUND(Sheet1!U64/Sheet1!T64*100,2),"")</f>
        <v/>
      </c>
      <c r="AQ57" s="1" t="str">
        <f>IFERROR(ROUND(Sheet1!W64/Sheet1!V64*M57,0),"")</f>
        <v/>
      </c>
      <c r="AR57" s="1" t="str">
        <f>IFERROR(ROUND(Sheet1!W64/Sheet1!V64*100,2),"")</f>
        <v/>
      </c>
      <c r="AT57" s="1" t="str">
        <f>IFERROR(ROUND(Sheet1!Y64/Sheet1!V64*M57,0),"")</f>
        <v/>
      </c>
      <c r="AU57" s="1" t="str">
        <f>IFERROR(ROUND(Sheet1!Y64/Sheet1!V64*100,2),"")</f>
        <v/>
      </c>
      <c r="AW57" s="1" t="str">
        <f>IFERROR(ROUND(Sheet1!X64/Sheet1!V64*M57,0),"")</f>
        <v/>
      </c>
      <c r="AX57" s="1" t="str">
        <f>IFERROR(ROUND(Sheet1!X64/Sheet1!V64*100,2),"")</f>
        <v/>
      </c>
      <c r="AZ57" s="1" t="str">
        <f>IFERROR(ROUND(Sheet1!Z64/Sheet1!V64*M57,0),"")</f>
        <v/>
      </c>
      <c r="BA57" s="1" t="str">
        <f>IFERROR(ROUND(Sheet1!Z64/Sheet1!V64*100,2),"")</f>
        <v/>
      </c>
      <c r="BC57" s="1" t="str">
        <f>IFERROR(ROUND(Sheet1!AB64/Sheet1!AA64*Sheet1!D64,0),"")</f>
        <v/>
      </c>
      <c r="BD57" s="1" t="str">
        <f>IFERROR(ROUND(Sheet1!AB64/Sheet1!AA64*100,2),"")</f>
        <v/>
      </c>
      <c r="BF57" s="1" t="str">
        <f>IFERROR(ROUND(Sheet1!AD64/Sheet1!AA64*Sheet1!D64,0),"")</f>
        <v/>
      </c>
      <c r="BG57" s="1" t="str">
        <f>IFERROR(ROUND(Sheet1!AC64/Sheet1!AA64*100,2),"")</f>
        <v/>
      </c>
      <c r="BI57" s="1" t="str">
        <f>IFERROR(ROUND(Sheet1!AC64/Sheet1!AA64*Sheet1!D64,0),"")</f>
        <v/>
      </c>
      <c r="BJ57" s="1" t="str">
        <f>IFERROR(ROUND(Sheet1!AD64/Sheet1!AA64*100,2),"")</f>
        <v/>
      </c>
    </row>
    <row r="58" spans="1:62">
      <c r="A58" s="2" t="str">
        <f>IF(Sheet1!B65="","",Sheet1!B65)</f>
        <v/>
      </c>
      <c r="B58" s="2" t="str">
        <f>IF(Sheet1!C65="","",Sheet1!C65)</f>
        <v/>
      </c>
      <c r="C58" s="40" t="str">
        <f>IF(Sheet1!D65="","",Sheet1!D65)</f>
        <v/>
      </c>
      <c r="D58" s="1" t="str">
        <f>IFERROR(ROUND(Sheet1!D65*Sheet1!F65/Sheet1!E65,2),"")</f>
        <v/>
      </c>
      <c r="E58" s="1" t="str">
        <f>IFERROR(ROUND(Sheet1!F65/Sheet1!E65*100,2),"")</f>
        <v/>
      </c>
      <c r="G58" s="1" t="str">
        <f>IFERROR(ROUND(Sheet1!D65*Sheet1!J65/Sheet1!G65,0),"")</f>
        <v/>
      </c>
      <c r="H58" s="1" t="str">
        <f>IFERROR(ROUND(Sheet1!J65/Sheet1!G65*100,2),"")</f>
        <v/>
      </c>
      <c r="J58" s="1" t="str">
        <f>IFERROR(ROUND(Sheet1!D65*Sheet1!K65/Sheet1!G65,0),"")</f>
        <v/>
      </c>
      <c r="K58" s="1" t="str">
        <f>IFERROR(ROUND(Sheet1!K65/Sheet1!G65*100,2),"")</f>
        <v/>
      </c>
      <c r="M58" s="1" t="str">
        <f>IFERROR(ROUND(Sheet1!D65*Sheet1!I65/Sheet1!G65,0),"")</f>
        <v/>
      </c>
      <c r="N58" s="1" t="str">
        <f>IFERROR(ROUND(Sheet1!I65/Sheet1!G65*100,2),"")</f>
        <v/>
      </c>
      <c r="P58" s="1" t="str">
        <f>IFERROR(ROUND(Sheet1!L65/Sheet1!H65*M58,0),"")</f>
        <v/>
      </c>
      <c r="Q58" s="1" t="str">
        <f>IFERROR(ROUND(Sheet1!L65/Sheet1!H65*100,2),"")</f>
        <v/>
      </c>
      <c r="S58" s="1" t="str">
        <f>IFERROR(ROUND(Sheet1!M65/Sheet1!H65*M58,0),"")</f>
        <v/>
      </c>
      <c r="T58" s="1" t="str">
        <f>IFERROR(ROUND(Sheet1!M65/Sheet1!H65*100,2),"")</f>
        <v/>
      </c>
      <c r="V58" s="1" t="str">
        <f>IFERROR(ROUND(Sheet1!O65/Sheet1!H65*M58,0),"")</f>
        <v/>
      </c>
      <c r="W58" s="1" t="str">
        <f>IFERROR(ROUND(Sheet1!O65/Sheet1!H65*100,2),"")</f>
        <v/>
      </c>
      <c r="AA58" s="1" t="str">
        <f>IFERROR(ROUND(Sheet1!P65/Sheet1!H65*100,2),"")</f>
        <v/>
      </c>
      <c r="AC58" s="1" t="str">
        <f>IFERROR(ROUND(Sheet1!N65/Sheet1!H65*100,2),"")</f>
        <v/>
      </c>
      <c r="AE58" s="1" t="str">
        <f>IFERROR(ROUND(Sheet1!Q65/Sheet1!H65*M58,0),"")</f>
        <v/>
      </c>
      <c r="AF58" s="1" t="str">
        <f>IFERROR(ROUND(Sheet1!Q65/Sheet1!H65*100,2),"")</f>
        <v/>
      </c>
      <c r="AH58" s="1" t="str">
        <f>IFERROR(ROUND(Sheet1!R65/Sheet1!H65*M58,0),"")</f>
        <v/>
      </c>
      <c r="AI58" s="1" t="str">
        <f>IFERROR(ROUND(Sheet1!R65/Sheet1!H65*100,2),"")</f>
        <v/>
      </c>
      <c r="AK58" s="1" t="str">
        <f t="shared" si="4"/>
        <v/>
      </c>
      <c r="AL58" s="1" t="str">
        <f>IFERROR(ROUND(Sheet1!U65/Sheet1!S65*M58,0),"")</f>
        <v/>
      </c>
      <c r="AM58" s="1" t="str">
        <f>IFERROR(ROUND(Sheet1!U65/Sheet1!T65*100,2),"")</f>
        <v/>
      </c>
      <c r="AQ58" s="1" t="str">
        <f>IFERROR(ROUND(Sheet1!W65/Sheet1!V65*M58,0),"")</f>
        <v/>
      </c>
      <c r="AR58" s="1" t="str">
        <f>IFERROR(ROUND(Sheet1!W65/Sheet1!V65*100,2),"")</f>
        <v/>
      </c>
      <c r="AT58" s="1" t="str">
        <f>IFERROR(ROUND(Sheet1!Y65/Sheet1!V65*M58,0),"")</f>
        <v/>
      </c>
      <c r="AU58" s="1" t="str">
        <f>IFERROR(ROUND(Sheet1!Y65/Sheet1!V65*100,2),"")</f>
        <v/>
      </c>
      <c r="AW58" s="1" t="str">
        <f>IFERROR(ROUND(Sheet1!X65/Sheet1!V65*M58,0),"")</f>
        <v/>
      </c>
      <c r="AX58" s="1" t="str">
        <f>IFERROR(ROUND(Sheet1!X65/Sheet1!V65*100,2),"")</f>
        <v/>
      </c>
      <c r="AZ58" s="1" t="str">
        <f>IFERROR(ROUND(Sheet1!Z65/Sheet1!V65*M58,0),"")</f>
        <v/>
      </c>
      <c r="BA58" s="1" t="str">
        <f>IFERROR(ROUND(Sheet1!Z65/Sheet1!V65*100,2),"")</f>
        <v/>
      </c>
      <c r="BC58" s="1" t="str">
        <f>IFERROR(ROUND(Sheet1!AB65/Sheet1!AA65*Sheet1!D65,0),"")</f>
        <v/>
      </c>
      <c r="BD58" s="1" t="str">
        <f>IFERROR(ROUND(Sheet1!AB65/Sheet1!AA65*100,2),"")</f>
        <v/>
      </c>
      <c r="BF58" s="1" t="str">
        <f>IFERROR(ROUND(Sheet1!AD65/Sheet1!AA65*Sheet1!D65,0),"")</f>
        <v/>
      </c>
      <c r="BG58" s="1" t="str">
        <f>IFERROR(ROUND(Sheet1!AC65/Sheet1!AA65*100,2),"")</f>
        <v/>
      </c>
      <c r="BI58" s="1" t="str">
        <f>IFERROR(ROUND(Sheet1!AC65/Sheet1!AA65*Sheet1!D65,0),"")</f>
        <v/>
      </c>
      <c r="BJ58" s="1" t="str">
        <f>IFERROR(ROUND(Sheet1!AD65/Sheet1!AA65*100,2),"")</f>
        <v/>
      </c>
    </row>
    <row r="59" spans="1:62">
      <c r="A59" s="2" t="str">
        <f>IF(Sheet1!B66="","",Sheet1!B66)</f>
        <v/>
      </c>
      <c r="B59" s="2" t="str">
        <f>IF(Sheet1!C66="","",Sheet1!C66)</f>
        <v/>
      </c>
      <c r="C59" s="40" t="str">
        <f>IF(Sheet1!D66="","",Sheet1!D66)</f>
        <v/>
      </c>
      <c r="D59" s="1" t="str">
        <f>IFERROR(ROUND(Sheet1!D66*Sheet1!F66/Sheet1!E66,2),"")</f>
        <v/>
      </c>
      <c r="E59" s="1" t="str">
        <f>IFERROR(ROUND(Sheet1!F66/Sheet1!E66*100,2),"")</f>
        <v/>
      </c>
      <c r="G59" s="1" t="str">
        <f>IFERROR(ROUND(Sheet1!D66*Sheet1!J66/Sheet1!G66,0),"")</f>
        <v/>
      </c>
      <c r="H59" s="1" t="str">
        <f>IFERROR(ROUND(Sheet1!J66/Sheet1!G66*100,2),"")</f>
        <v/>
      </c>
      <c r="J59" s="1" t="str">
        <f>IFERROR(ROUND(Sheet1!D66*Sheet1!K66/Sheet1!G66,0),"")</f>
        <v/>
      </c>
      <c r="K59" s="1" t="str">
        <f>IFERROR(ROUND(Sheet1!K66/Sheet1!G66*100,2),"")</f>
        <v/>
      </c>
      <c r="M59" s="1" t="str">
        <f>IFERROR(ROUND(Sheet1!D66*Sheet1!I66/Sheet1!G66,0),"")</f>
        <v/>
      </c>
      <c r="N59" s="1" t="str">
        <f>IFERROR(ROUND(Sheet1!I66/Sheet1!G66*100,2),"")</f>
        <v/>
      </c>
      <c r="P59" s="1" t="str">
        <f>IFERROR(ROUND(Sheet1!L66/Sheet1!H66*M59,0),"")</f>
        <v/>
      </c>
      <c r="Q59" s="1" t="str">
        <f>IFERROR(ROUND(Sheet1!L66/Sheet1!H66*100,2),"")</f>
        <v/>
      </c>
      <c r="S59" s="1" t="str">
        <f>IFERROR(ROUND(Sheet1!M66/Sheet1!H66*M59,0),"")</f>
        <v/>
      </c>
      <c r="T59" s="1" t="str">
        <f>IFERROR(ROUND(Sheet1!M66/Sheet1!H66*100,2),"")</f>
        <v/>
      </c>
      <c r="V59" s="1" t="str">
        <f>IFERROR(ROUND(Sheet1!O66/Sheet1!H66*M59,0),"")</f>
        <v/>
      </c>
      <c r="W59" s="1" t="str">
        <f>IFERROR(ROUND(Sheet1!O66/Sheet1!H66*100,2),"")</f>
        <v/>
      </c>
      <c r="AA59" s="1" t="str">
        <f>IFERROR(ROUND(Sheet1!P66/Sheet1!H66*100,2),"")</f>
        <v/>
      </c>
      <c r="AC59" s="1" t="str">
        <f>IFERROR(ROUND(Sheet1!N66/Sheet1!H66*100,2),"")</f>
        <v/>
      </c>
      <c r="AE59" s="1" t="str">
        <f>IFERROR(ROUND(Sheet1!Q66/Sheet1!H66*M59,0),"")</f>
        <v/>
      </c>
      <c r="AF59" s="1" t="str">
        <f>IFERROR(ROUND(Sheet1!Q66/Sheet1!H66*100,2),"")</f>
        <v/>
      </c>
      <c r="AH59" s="1" t="str">
        <f>IFERROR(ROUND(Sheet1!R66/Sheet1!H66*M59,0),"")</f>
        <v/>
      </c>
      <c r="AI59" s="1" t="str">
        <f>IFERROR(ROUND(Sheet1!R66/Sheet1!H66*100,2),"")</f>
        <v/>
      </c>
      <c r="AK59" s="1" t="str">
        <f t="shared" si="4"/>
        <v/>
      </c>
      <c r="AL59" s="1" t="str">
        <f>IFERROR(ROUND(Sheet1!U66/Sheet1!S66*M59,0),"")</f>
        <v/>
      </c>
      <c r="AM59" s="1" t="str">
        <f>IFERROR(ROUND(Sheet1!U66/Sheet1!T66*100,2),"")</f>
        <v/>
      </c>
      <c r="AQ59" s="1" t="str">
        <f>IFERROR(ROUND(Sheet1!W66/Sheet1!V66*M59,0),"")</f>
        <v/>
      </c>
      <c r="AR59" s="1" t="str">
        <f>IFERROR(ROUND(Sheet1!W66/Sheet1!V66*100,2),"")</f>
        <v/>
      </c>
      <c r="AT59" s="1" t="str">
        <f>IFERROR(ROUND(Sheet1!Y66/Sheet1!V66*M59,0),"")</f>
        <v/>
      </c>
      <c r="AU59" s="1" t="str">
        <f>IFERROR(ROUND(Sheet1!Y66/Sheet1!V66*100,2),"")</f>
        <v/>
      </c>
      <c r="AW59" s="1" t="str">
        <f>IFERROR(ROUND(Sheet1!X66/Sheet1!V66*M59,0),"")</f>
        <v/>
      </c>
      <c r="AX59" s="1" t="str">
        <f>IFERROR(ROUND(Sheet1!X66/Sheet1!V66*100,2),"")</f>
        <v/>
      </c>
      <c r="AZ59" s="1" t="str">
        <f>IFERROR(ROUND(Sheet1!Z66/Sheet1!V66*M59,0),"")</f>
        <v/>
      </c>
      <c r="BA59" s="1" t="str">
        <f>IFERROR(ROUND(Sheet1!Z66/Sheet1!V66*100,2),"")</f>
        <v/>
      </c>
      <c r="BC59" s="1" t="str">
        <f>IFERROR(ROUND(Sheet1!AB66/Sheet1!AA66*Sheet1!D66,0),"")</f>
        <v/>
      </c>
      <c r="BD59" s="1" t="str">
        <f>IFERROR(ROUND(Sheet1!AB66/Sheet1!AA66*100,2),"")</f>
        <v/>
      </c>
      <c r="BF59" s="1" t="str">
        <f>IFERROR(ROUND(Sheet1!AD66/Sheet1!AA66*Sheet1!D66,0),"")</f>
        <v/>
      </c>
      <c r="BG59" s="1" t="str">
        <f>IFERROR(ROUND(Sheet1!AC66/Sheet1!AA66*100,2),"")</f>
        <v/>
      </c>
      <c r="BI59" s="1" t="str">
        <f>IFERROR(ROUND(Sheet1!AC66/Sheet1!AA66*Sheet1!D66,0),"")</f>
        <v/>
      </c>
      <c r="BJ59" s="1" t="str">
        <f>IFERROR(ROUND(Sheet1!AD66/Sheet1!AA66*100,2),"")</f>
        <v/>
      </c>
    </row>
    <row r="60" spans="1:62">
      <c r="A60" s="2" t="str">
        <f>IF(Sheet1!B67="","",Sheet1!B67)</f>
        <v/>
      </c>
      <c r="B60" s="2" t="str">
        <f>IF(Sheet1!C67="","",Sheet1!C67)</f>
        <v/>
      </c>
      <c r="C60" s="40" t="str">
        <f>IF(Sheet1!D67="","",Sheet1!D67)</f>
        <v/>
      </c>
      <c r="D60" s="1" t="str">
        <f>IFERROR(ROUND(Sheet1!D67*Sheet1!F67/Sheet1!E67,2),"")</f>
        <v/>
      </c>
      <c r="E60" s="1" t="str">
        <f>IFERROR(ROUND(Sheet1!F67/Sheet1!E67*100,2),"")</f>
        <v/>
      </c>
      <c r="G60" s="1" t="str">
        <f>IFERROR(ROUND(Sheet1!D67*Sheet1!J67/Sheet1!G67,0),"")</f>
        <v/>
      </c>
      <c r="H60" s="1" t="str">
        <f>IFERROR(ROUND(Sheet1!J67/Sheet1!G67*100,2),"")</f>
        <v/>
      </c>
      <c r="J60" s="1" t="str">
        <f>IFERROR(ROUND(Sheet1!D67*Sheet1!K67/Sheet1!G67,0),"")</f>
        <v/>
      </c>
      <c r="K60" s="1" t="str">
        <f>IFERROR(ROUND(Sheet1!K67/Sheet1!G67*100,2),"")</f>
        <v/>
      </c>
      <c r="M60" s="1" t="str">
        <f>IFERROR(ROUND(Sheet1!D67*Sheet1!I67/Sheet1!G67,0),"")</f>
        <v/>
      </c>
      <c r="N60" s="1" t="str">
        <f>IFERROR(ROUND(Sheet1!I67/Sheet1!G67*100,2),"")</f>
        <v/>
      </c>
      <c r="P60" s="1" t="str">
        <f>IFERROR(ROUND(Sheet1!L67/Sheet1!H67*M60,0),"")</f>
        <v/>
      </c>
      <c r="Q60" s="1" t="str">
        <f>IFERROR(ROUND(Sheet1!L67/Sheet1!H67*100,2),"")</f>
        <v/>
      </c>
      <c r="S60" s="1" t="str">
        <f>IFERROR(ROUND(Sheet1!M67/Sheet1!H67*M60,0),"")</f>
        <v/>
      </c>
      <c r="T60" s="1" t="str">
        <f>IFERROR(ROUND(Sheet1!M67/Sheet1!H67*100,2),"")</f>
        <v/>
      </c>
      <c r="V60" s="1" t="str">
        <f>IFERROR(ROUND(Sheet1!O67/Sheet1!H67*M60,0),"")</f>
        <v/>
      </c>
      <c r="W60" s="1" t="str">
        <f>IFERROR(ROUND(Sheet1!O67/Sheet1!H67*100,2),"")</f>
        <v/>
      </c>
      <c r="AA60" s="1" t="str">
        <f>IFERROR(ROUND(Sheet1!P67/Sheet1!H67*100,2),"")</f>
        <v/>
      </c>
      <c r="AC60" s="1" t="str">
        <f>IFERROR(ROUND(Sheet1!N67/Sheet1!H67*100,2),"")</f>
        <v/>
      </c>
      <c r="AE60" s="1" t="str">
        <f>IFERROR(ROUND(Sheet1!Q67/Sheet1!H67*M60,0),"")</f>
        <v/>
      </c>
      <c r="AF60" s="1" t="str">
        <f>IFERROR(ROUND(Sheet1!Q67/Sheet1!H67*100,2),"")</f>
        <v/>
      </c>
      <c r="AH60" s="1" t="str">
        <f>IFERROR(ROUND(Sheet1!R67/Sheet1!H67*M60,0),"")</f>
        <v/>
      </c>
      <c r="AI60" s="1" t="str">
        <f>IFERROR(ROUND(Sheet1!R67/Sheet1!H67*100,2),"")</f>
        <v/>
      </c>
      <c r="AK60" s="1" t="str">
        <f t="shared" si="4"/>
        <v/>
      </c>
      <c r="AL60" s="1" t="str">
        <f>IFERROR(ROUND(Sheet1!U67/Sheet1!S67*M60,0),"")</f>
        <v/>
      </c>
      <c r="AM60" s="1" t="str">
        <f>IFERROR(ROUND(Sheet1!U67/Sheet1!T67*100,2),"")</f>
        <v/>
      </c>
      <c r="AQ60" s="1" t="str">
        <f>IFERROR(ROUND(Sheet1!W67/Sheet1!V67*M60,0),"")</f>
        <v/>
      </c>
      <c r="AR60" s="1" t="str">
        <f>IFERROR(ROUND(Sheet1!W67/Sheet1!V67*100,2),"")</f>
        <v/>
      </c>
      <c r="AT60" s="1" t="str">
        <f>IFERROR(ROUND(Sheet1!Y67/Sheet1!V67*M60,0),"")</f>
        <v/>
      </c>
      <c r="AU60" s="1" t="str">
        <f>IFERROR(ROUND(Sheet1!Y67/Sheet1!V67*100,2),"")</f>
        <v/>
      </c>
      <c r="AW60" s="1" t="str">
        <f>IFERROR(ROUND(Sheet1!X67/Sheet1!V67*M60,0),"")</f>
        <v/>
      </c>
      <c r="AX60" s="1" t="str">
        <f>IFERROR(ROUND(Sheet1!X67/Sheet1!V67*100,2),"")</f>
        <v/>
      </c>
      <c r="AZ60" s="1" t="str">
        <f>IFERROR(ROUND(Sheet1!Z67/Sheet1!V67*M60,0),"")</f>
        <v/>
      </c>
      <c r="BA60" s="1" t="str">
        <f>IFERROR(ROUND(Sheet1!Z67/Sheet1!V67*100,2),"")</f>
        <v/>
      </c>
      <c r="BC60" s="1" t="str">
        <f>IFERROR(ROUND(Sheet1!AB67/Sheet1!AA67*Sheet1!D67,0),"")</f>
        <v/>
      </c>
      <c r="BD60" s="1" t="str">
        <f>IFERROR(ROUND(Sheet1!AB67/Sheet1!AA67*100,2),"")</f>
        <v/>
      </c>
      <c r="BF60" s="1" t="str">
        <f>IFERROR(ROUND(Sheet1!AD67/Sheet1!AA67*Sheet1!D67,0),"")</f>
        <v/>
      </c>
      <c r="BG60" s="1" t="str">
        <f>IFERROR(ROUND(Sheet1!AC67/Sheet1!AA67*100,2),"")</f>
        <v/>
      </c>
      <c r="BI60" s="1" t="str">
        <f>IFERROR(ROUND(Sheet1!AC67/Sheet1!AA67*Sheet1!D67,0),"")</f>
        <v/>
      </c>
      <c r="BJ60" s="1" t="str">
        <f>IFERROR(ROUND(Sheet1!AD67/Sheet1!AA67*100,2),"")</f>
        <v/>
      </c>
    </row>
    <row r="61" spans="1:62">
      <c r="A61" s="2" t="str">
        <f>IF(Sheet1!B68="","",Sheet1!B68)</f>
        <v/>
      </c>
      <c r="B61" s="2" t="str">
        <f>IF(Sheet1!C68="","",Sheet1!C68)</f>
        <v/>
      </c>
      <c r="C61" s="40" t="str">
        <f>IF(Sheet1!D68="","",Sheet1!D68)</f>
        <v/>
      </c>
      <c r="D61" s="1" t="str">
        <f>IFERROR(ROUND(Sheet1!D68*Sheet1!F68/Sheet1!E68,2),"")</f>
        <v/>
      </c>
      <c r="E61" s="1" t="str">
        <f>IFERROR(ROUND(Sheet1!F68/Sheet1!E68*100,2),"")</f>
        <v/>
      </c>
      <c r="G61" s="1" t="str">
        <f>IFERROR(ROUND(Sheet1!D68*Sheet1!J68/Sheet1!G68,0),"")</f>
        <v/>
      </c>
      <c r="H61" s="1" t="str">
        <f>IFERROR(ROUND(Sheet1!J68/Sheet1!G68*100,2),"")</f>
        <v/>
      </c>
      <c r="J61" s="1" t="str">
        <f>IFERROR(ROUND(Sheet1!D68*Sheet1!K68/Sheet1!G68,0),"")</f>
        <v/>
      </c>
      <c r="K61" s="1" t="str">
        <f>IFERROR(ROUND(Sheet1!K68/Sheet1!G68*100,2),"")</f>
        <v/>
      </c>
      <c r="M61" s="1" t="str">
        <f>IFERROR(ROUND(Sheet1!D68*Sheet1!I68/Sheet1!G68,0),"")</f>
        <v/>
      </c>
      <c r="N61" s="1" t="str">
        <f>IFERROR(ROUND(Sheet1!I68/Sheet1!G68*100,2),"")</f>
        <v/>
      </c>
      <c r="P61" s="1" t="str">
        <f>IFERROR(ROUND(Sheet1!L68/Sheet1!H68*M61,0),"")</f>
        <v/>
      </c>
      <c r="Q61" s="1" t="str">
        <f>IFERROR(ROUND(Sheet1!L68/Sheet1!H68*100,2),"")</f>
        <v/>
      </c>
      <c r="S61" s="1" t="str">
        <f>IFERROR(ROUND(Sheet1!M68/Sheet1!H68*M61,0),"")</f>
        <v/>
      </c>
      <c r="T61" s="1" t="str">
        <f>IFERROR(ROUND(Sheet1!M68/Sheet1!H68*100,2),"")</f>
        <v/>
      </c>
      <c r="V61" s="1" t="str">
        <f>IFERROR(ROUND(Sheet1!O68/Sheet1!H68*M61,0),"")</f>
        <v/>
      </c>
      <c r="W61" s="1" t="str">
        <f>IFERROR(ROUND(Sheet1!O68/Sheet1!H68*100,2),"")</f>
        <v/>
      </c>
      <c r="AA61" s="1" t="str">
        <f>IFERROR(ROUND(Sheet1!P68/Sheet1!H68*100,2),"")</f>
        <v/>
      </c>
      <c r="AC61" s="1" t="str">
        <f>IFERROR(ROUND(Sheet1!N68/Sheet1!H68*100,2),"")</f>
        <v/>
      </c>
      <c r="AE61" s="1" t="str">
        <f>IFERROR(ROUND(Sheet1!Q68/Sheet1!H68*M61,0),"")</f>
        <v/>
      </c>
      <c r="AF61" s="1" t="str">
        <f>IFERROR(ROUND(Sheet1!Q68/Sheet1!H68*100,2),"")</f>
        <v/>
      </c>
      <c r="AH61" s="1" t="str">
        <f>IFERROR(ROUND(Sheet1!R68/Sheet1!H68*M61,0),"")</f>
        <v/>
      </c>
      <c r="AI61" s="1" t="str">
        <f>IFERROR(ROUND(Sheet1!R68/Sheet1!H68*100,2),"")</f>
        <v/>
      </c>
      <c r="AK61" s="1" t="str">
        <f t="shared" si="4"/>
        <v/>
      </c>
      <c r="AL61" s="1" t="str">
        <f>IFERROR(ROUND(Sheet1!U68/Sheet1!S68*M61,0),"")</f>
        <v/>
      </c>
      <c r="AM61" s="1" t="str">
        <f>IFERROR(ROUND(Sheet1!U68/Sheet1!T68*100,2),"")</f>
        <v/>
      </c>
      <c r="AQ61" s="1" t="str">
        <f>IFERROR(ROUND(Sheet1!W68/Sheet1!V68*M61,0),"")</f>
        <v/>
      </c>
      <c r="AR61" s="1" t="str">
        <f>IFERROR(ROUND(Sheet1!W68/Sheet1!V68*100,2),"")</f>
        <v/>
      </c>
      <c r="AT61" s="1" t="str">
        <f>IFERROR(ROUND(Sheet1!Y68/Sheet1!V68*M61,0),"")</f>
        <v/>
      </c>
      <c r="AU61" s="1" t="str">
        <f>IFERROR(ROUND(Sheet1!Y68/Sheet1!V68*100,2),"")</f>
        <v/>
      </c>
      <c r="AW61" s="1" t="str">
        <f>IFERROR(ROUND(Sheet1!X68/Sheet1!V68*M61,0),"")</f>
        <v/>
      </c>
      <c r="AX61" s="1" t="str">
        <f>IFERROR(ROUND(Sheet1!X68/Sheet1!V68*100,2),"")</f>
        <v/>
      </c>
      <c r="AZ61" s="1" t="str">
        <f>IFERROR(ROUND(Sheet1!Z68/Sheet1!V68*M61,0),"")</f>
        <v/>
      </c>
      <c r="BA61" s="1" t="str">
        <f>IFERROR(ROUND(Sheet1!Z68/Sheet1!V68*100,2),"")</f>
        <v/>
      </c>
      <c r="BC61" s="1" t="str">
        <f>IFERROR(ROUND(Sheet1!AB68/Sheet1!AA68*Sheet1!D68,0),"")</f>
        <v/>
      </c>
      <c r="BD61" s="1" t="str">
        <f>IFERROR(ROUND(Sheet1!AB68/Sheet1!AA68*100,2),"")</f>
        <v/>
      </c>
      <c r="BF61" s="1" t="str">
        <f>IFERROR(ROUND(Sheet1!AD68/Sheet1!AA68*Sheet1!D68,0),"")</f>
        <v/>
      </c>
      <c r="BG61" s="1" t="str">
        <f>IFERROR(ROUND(Sheet1!AC68/Sheet1!AA68*100,2),"")</f>
        <v/>
      </c>
      <c r="BI61" s="1" t="str">
        <f>IFERROR(ROUND(Sheet1!AC68/Sheet1!AA68*Sheet1!D68,0),"")</f>
        <v/>
      </c>
      <c r="BJ61" s="1" t="str">
        <f>IFERROR(ROUND(Sheet1!AD68/Sheet1!AA68*100,2),"")</f>
        <v/>
      </c>
    </row>
    <row r="62" spans="1:62">
      <c r="A62" s="2" t="str">
        <f>IF(Sheet1!B69="","",Sheet1!B69)</f>
        <v/>
      </c>
      <c r="B62" s="2" t="str">
        <f>IF(Sheet1!C69="","",Sheet1!C69)</f>
        <v/>
      </c>
      <c r="C62" s="40" t="str">
        <f>IF(Sheet1!D69="","",Sheet1!D69)</f>
        <v/>
      </c>
      <c r="D62" s="1" t="str">
        <f>IFERROR(ROUND(Sheet1!D69*Sheet1!F69/Sheet1!E69,2),"")</f>
        <v/>
      </c>
      <c r="E62" s="1" t="str">
        <f>IFERROR(ROUND(Sheet1!F69/Sheet1!E69*100,2),"")</f>
        <v/>
      </c>
      <c r="G62" s="1" t="str">
        <f>IFERROR(ROUND(Sheet1!D69*Sheet1!J69/Sheet1!G69,0),"")</f>
        <v/>
      </c>
      <c r="H62" s="1" t="str">
        <f>IFERROR(ROUND(Sheet1!J69/Sheet1!G69*100,2),"")</f>
        <v/>
      </c>
      <c r="J62" s="1" t="str">
        <f>IFERROR(ROUND(Sheet1!D69*Sheet1!K69/Sheet1!G69,0),"")</f>
        <v/>
      </c>
      <c r="K62" s="1" t="str">
        <f>IFERROR(ROUND(Sheet1!K69/Sheet1!G69*100,2),"")</f>
        <v/>
      </c>
      <c r="M62" s="1" t="str">
        <f>IFERROR(ROUND(Sheet1!D69*Sheet1!I69/Sheet1!G69,0),"")</f>
        <v/>
      </c>
      <c r="N62" s="1" t="str">
        <f>IFERROR(ROUND(Sheet1!I69/Sheet1!G69*100,2),"")</f>
        <v/>
      </c>
      <c r="P62" s="1" t="str">
        <f>IFERROR(ROUND(Sheet1!L69/Sheet1!H69*M62,0),"")</f>
        <v/>
      </c>
      <c r="Q62" s="1" t="str">
        <f>IFERROR(ROUND(Sheet1!L69/Sheet1!H69*100,2),"")</f>
        <v/>
      </c>
      <c r="S62" s="1" t="str">
        <f>IFERROR(ROUND(Sheet1!M69/Sheet1!H69*M62,0),"")</f>
        <v/>
      </c>
      <c r="T62" s="1" t="str">
        <f>IFERROR(ROUND(Sheet1!M69/Sheet1!H69*100,2),"")</f>
        <v/>
      </c>
      <c r="V62" s="1" t="str">
        <f>IFERROR(ROUND(Sheet1!O69/Sheet1!H69*M62,0),"")</f>
        <v/>
      </c>
      <c r="W62" s="1" t="str">
        <f>IFERROR(ROUND(Sheet1!O69/Sheet1!H69*100,2),"")</f>
        <v/>
      </c>
      <c r="AA62" s="1" t="str">
        <f>IFERROR(ROUND(Sheet1!P69/Sheet1!H69*100,2),"")</f>
        <v/>
      </c>
      <c r="AC62" s="1" t="str">
        <f>IFERROR(ROUND(Sheet1!N69/Sheet1!H69*100,2),"")</f>
        <v/>
      </c>
      <c r="AE62" s="1" t="str">
        <f>IFERROR(ROUND(Sheet1!Q69/Sheet1!H69*M62,0),"")</f>
        <v/>
      </c>
      <c r="AF62" s="1" t="str">
        <f>IFERROR(ROUND(Sheet1!Q69/Sheet1!H69*100,2),"")</f>
        <v/>
      </c>
      <c r="AH62" s="1" t="str">
        <f>IFERROR(ROUND(Sheet1!R69/Sheet1!H69*M62,0),"")</f>
        <v/>
      </c>
      <c r="AI62" s="1" t="str">
        <f>IFERROR(ROUND(Sheet1!R69/Sheet1!H69*100,2),"")</f>
        <v/>
      </c>
      <c r="AK62" s="1" t="str">
        <f t="shared" si="4"/>
        <v/>
      </c>
      <c r="AL62" s="1" t="str">
        <f>IFERROR(ROUND(Sheet1!U69/Sheet1!S69*M62,0),"")</f>
        <v/>
      </c>
      <c r="AM62" s="1" t="str">
        <f>IFERROR(ROUND(Sheet1!U69/Sheet1!T69*100,2),"")</f>
        <v/>
      </c>
      <c r="AQ62" s="1" t="str">
        <f>IFERROR(ROUND(Sheet1!W69/Sheet1!V69*M62,0),"")</f>
        <v/>
      </c>
      <c r="AR62" s="1" t="str">
        <f>IFERROR(ROUND(Sheet1!W69/Sheet1!V69*100,2),"")</f>
        <v/>
      </c>
      <c r="AT62" s="1" t="str">
        <f>IFERROR(ROUND(Sheet1!Y69/Sheet1!V69*M62,0),"")</f>
        <v/>
      </c>
      <c r="AU62" s="1" t="str">
        <f>IFERROR(ROUND(Sheet1!Y69/Sheet1!V69*100,2),"")</f>
        <v/>
      </c>
      <c r="AW62" s="1" t="str">
        <f>IFERROR(ROUND(Sheet1!X69/Sheet1!V69*M62,0),"")</f>
        <v/>
      </c>
      <c r="AX62" s="1" t="str">
        <f>IFERROR(ROUND(Sheet1!X69/Sheet1!V69*100,2),"")</f>
        <v/>
      </c>
      <c r="AZ62" s="1" t="str">
        <f>IFERROR(ROUND(Sheet1!Z69/Sheet1!V69*M62,0),"")</f>
        <v/>
      </c>
      <c r="BA62" s="1" t="str">
        <f>IFERROR(ROUND(Sheet1!Z69/Sheet1!V69*100,2),"")</f>
        <v/>
      </c>
      <c r="BC62" s="1" t="str">
        <f>IFERROR(ROUND(Sheet1!AB69/Sheet1!AA69*Sheet1!D69,0),"")</f>
        <v/>
      </c>
      <c r="BD62" s="1" t="str">
        <f>IFERROR(ROUND(Sheet1!AB69/Sheet1!AA69*100,2),"")</f>
        <v/>
      </c>
      <c r="BF62" s="1" t="str">
        <f>IFERROR(ROUND(Sheet1!AD69/Sheet1!AA69*Sheet1!D69,0),"")</f>
        <v/>
      </c>
      <c r="BG62" s="1" t="str">
        <f>IFERROR(ROUND(Sheet1!AC69/Sheet1!AA69*100,2),"")</f>
        <v/>
      </c>
      <c r="BI62" s="1" t="str">
        <f>IFERROR(ROUND(Sheet1!AC69/Sheet1!AA69*Sheet1!D69,0),"")</f>
        <v/>
      </c>
      <c r="BJ62" s="1" t="str">
        <f>IFERROR(ROUND(Sheet1!AD69/Sheet1!AA69*100,2),"")</f>
        <v/>
      </c>
    </row>
    <row r="63" spans="1:62">
      <c r="A63" s="2" t="str">
        <f>IF(Sheet1!B70="","",Sheet1!B70)</f>
        <v/>
      </c>
      <c r="B63" s="2" t="str">
        <f>IF(Sheet1!C70="","",Sheet1!C70)</f>
        <v/>
      </c>
      <c r="C63" s="40" t="str">
        <f>IF(Sheet1!D70="","",Sheet1!D70)</f>
        <v/>
      </c>
      <c r="D63" s="1" t="str">
        <f>IFERROR(ROUND(Sheet1!D70*Sheet1!F70/Sheet1!E70,2),"")</f>
        <v/>
      </c>
      <c r="E63" s="1" t="str">
        <f>IFERROR(ROUND(Sheet1!F70/Sheet1!E70*100,2),"")</f>
        <v/>
      </c>
      <c r="G63" s="1" t="str">
        <f>IFERROR(ROUND(Sheet1!D70*Sheet1!J70/Sheet1!G70,0),"")</f>
        <v/>
      </c>
      <c r="H63" s="1" t="str">
        <f>IFERROR(ROUND(Sheet1!J70/Sheet1!G70*100,2),"")</f>
        <v/>
      </c>
      <c r="J63" s="1" t="str">
        <f>IFERROR(ROUND(Sheet1!D70*Sheet1!K70/Sheet1!G70,0),"")</f>
        <v/>
      </c>
      <c r="K63" s="1" t="str">
        <f>IFERROR(ROUND(Sheet1!K70/Sheet1!G70*100,2),"")</f>
        <v/>
      </c>
      <c r="M63" s="1" t="str">
        <f>IFERROR(ROUND(Sheet1!D70*Sheet1!I70/Sheet1!G70,0),"")</f>
        <v/>
      </c>
      <c r="N63" s="1" t="str">
        <f>IFERROR(ROUND(Sheet1!I70/Sheet1!G70*100,2),"")</f>
        <v/>
      </c>
      <c r="P63" s="1" t="str">
        <f>IFERROR(ROUND(Sheet1!L70/Sheet1!H70*M63,0),"")</f>
        <v/>
      </c>
      <c r="Q63" s="1" t="str">
        <f>IFERROR(ROUND(Sheet1!L70/Sheet1!H70*100,2),"")</f>
        <v/>
      </c>
      <c r="S63" s="1" t="str">
        <f>IFERROR(ROUND(Sheet1!M70/Sheet1!H70*M63,0),"")</f>
        <v/>
      </c>
      <c r="T63" s="1" t="str">
        <f>IFERROR(ROUND(Sheet1!M70/Sheet1!H70*100,2),"")</f>
        <v/>
      </c>
      <c r="V63" s="1" t="str">
        <f>IFERROR(ROUND(Sheet1!O70/Sheet1!H70*M63,0),"")</f>
        <v/>
      </c>
      <c r="W63" s="1" t="str">
        <f>IFERROR(ROUND(Sheet1!O70/Sheet1!H70*100,2),"")</f>
        <v/>
      </c>
      <c r="AA63" s="1" t="str">
        <f>IFERROR(ROUND(Sheet1!P70/Sheet1!H70*100,2),"")</f>
        <v/>
      </c>
      <c r="AC63" s="1" t="str">
        <f>IFERROR(ROUND(Sheet1!N70/Sheet1!H70*100,2),"")</f>
        <v/>
      </c>
      <c r="AE63" s="1" t="str">
        <f>IFERROR(ROUND(Sheet1!Q70/Sheet1!H70*M63,0),"")</f>
        <v/>
      </c>
      <c r="AF63" s="1" t="str">
        <f>IFERROR(ROUND(Sheet1!Q70/Sheet1!H70*100,2),"")</f>
        <v/>
      </c>
      <c r="AH63" s="1" t="str">
        <f>IFERROR(ROUND(Sheet1!R70/Sheet1!H70*M63,0),"")</f>
        <v/>
      </c>
      <c r="AI63" s="1" t="str">
        <f>IFERROR(ROUND(Sheet1!R70/Sheet1!H70*100,2),"")</f>
        <v/>
      </c>
      <c r="AK63" s="1" t="str">
        <f t="shared" si="4"/>
        <v/>
      </c>
      <c r="AL63" s="1" t="str">
        <f>IFERROR(ROUND(Sheet1!U70/Sheet1!S70*M63,0),"")</f>
        <v/>
      </c>
      <c r="AM63" s="1" t="str">
        <f>IFERROR(ROUND(Sheet1!U70/Sheet1!T70*100,2),"")</f>
        <v/>
      </c>
      <c r="AQ63" s="1" t="str">
        <f>IFERROR(ROUND(Sheet1!W70/Sheet1!V70*M63,0),"")</f>
        <v/>
      </c>
      <c r="AR63" s="1" t="str">
        <f>IFERROR(ROUND(Sheet1!W70/Sheet1!V70*100,2),"")</f>
        <v/>
      </c>
      <c r="AT63" s="1" t="str">
        <f>IFERROR(ROUND(Sheet1!Y70/Sheet1!V70*M63,0),"")</f>
        <v/>
      </c>
      <c r="AU63" s="1" t="str">
        <f>IFERROR(ROUND(Sheet1!Y70/Sheet1!V70*100,2),"")</f>
        <v/>
      </c>
      <c r="AW63" s="1" t="str">
        <f>IFERROR(ROUND(Sheet1!X70/Sheet1!V70*M63,0),"")</f>
        <v/>
      </c>
      <c r="AX63" s="1" t="str">
        <f>IFERROR(ROUND(Sheet1!X70/Sheet1!V70*100,2),"")</f>
        <v/>
      </c>
      <c r="AZ63" s="1" t="str">
        <f>IFERROR(ROUND(Sheet1!Z70/Sheet1!V70*M63,0),"")</f>
        <v/>
      </c>
      <c r="BA63" s="1" t="str">
        <f>IFERROR(ROUND(Sheet1!Z70/Sheet1!V70*100,2),"")</f>
        <v/>
      </c>
      <c r="BC63" s="1" t="str">
        <f>IFERROR(ROUND(Sheet1!AB70/Sheet1!AA70*Sheet1!D70,0),"")</f>
        <v/>
      </c>
      <c r="BD63" s="1" t="str">
        <f>IFERROR(ROUND(Sheet1!AB70/Sheet1!AA70*100,2),"")</f>
        <v/>
      </c>
      <c r="BF63" s="1" t="str">
        <f>IFERROR(ROUND(Sheet1!AD70/Sheet1!AA70*Sheet1!D70,0),"")</f>
        <v/>
      </c>
      <c r="BG63" s="1" t="str">
        <f>IFERROR(ROUND(Sheet1!AC70/Sheet1!AA70*100,2),"")</f>
        <v/>
      </c>
      <c r="BI63" s="1" t="str">
        <f>IFERROR(ROUND(Sheet1!AC70/Sheet1!AA70*Sheet1!D70,0),"")</f>
        <v/>
      </c>
      <c r="BJ63" s="1" t="str">
        <f>IFERROR(ROUND(Sheet1!AD70/Sheet1!AA70*100,2),"")</f>
        <v/>
      </c>
    </row>
    <row r="64" spans="1:62">
      <c r="A64" s="2" t="str">
        <f>IF(Sheet1!B71="","",Sheet1!B71)</f>
        <v/>
      </c>
      <c r="B64" s="2" t="str">
        <f>IF(Sheet1!C71="","",Sheet1!C71)</f>
        <v/>
      </c>
      <c r="C64" s="40" t="str">
        <f>IF(Sheet1!D71="","",Sheet1!D71)</f>
        <v/>
      </c>
      <c r="D64" s="1" t="str">
        <f>IFERROR(ROUND(Sheet1!D71*Sheet1!F71/Sheet1!E71,2),"")</f>
        <v/>
      </c>
      <c r="E64" s="1" t="str">
        <f>IFERROR(ROUND(Sheet1!F71/Sheet1!E71*100,2),"")</f>
        <v/>
      </c>
      <c r="G64" s="1" t="str">
        <f>IFERROR(ROUND(Sheet1!D71*Sheet1!J71/Sheet1!G71,0),"")</f>
        <v/>
      </c>
      <c r="H64" s="1" t="str">
        <f>IFERROR(ROUND(Sheet1!J71/Sheet1!G71*100,2),"")</f>
        <v/>
      </c>
      <c r="J64" s="1" t="str">
        <f>IFERROR(ROUND(Sheet1!D71*Sheet1!K71/Sheet1!G71,0),"")</f>
        <v/>
      </c>
      <c r="K64" s="1" t="str">
        <f>IFERROR(ROUND(Sheet1!K71/Sheet1!G71*100,2),"")</f>
        <v/>
      </c>
      <c r="M64" s="1" t="str">
        <f>IFERROR(ROUND(Sheet1!D71*Sheet1!I71/Sheet1!G71,0),"")</f>
        <v/>
      </c>
      <c r="N64" s="1" t="str">
        <f>IFERROR(ROUND(Sheet1!I71/Sheet1!G71*100,2),"")</f>
        <v/>
      </c>
      <c r="P64" s="1" t="str">
        <f>IFERROR(ROUND(Sheet1!L71/Sheet1!H71*M64,0),"")</f>
        <v/>
      </c>
      <c r="Q64" s="1" t="str">
        <f>IFERROR(ROUND(Sheet1!L71/Sheet1!H71*100,2),"")</f>
        <v/>
      </c>
      <c r="S64" s="1" t="str">
        <f>IFERROR(ROUND(Sheet1!M71/Sheet1!H71*M64,0),"")</f>
        <v/>
      </c>
      <c r="T64" s="1" t="str">
        <f>IFERROR(ROUND(Sheet1!M71/Sheet1!H71*100,2),"")</f>
        <v/>
      </c>
      <c r="V64" s="1" t="str">
        <f>IFERROR(ROUND(Sheet1!O71/Sheet1!H71*M64,0),"")</f>
        <v/>
      </c>
      <c r="W64" s="1" t="str">
        <f>IFERROR(ROUND(Sheet1!O71/Sheet1!H71*100,2),"")</f>
        <v/>
      </c>
      <c r="AA64" s="1" t="str">
        <f>IFERROR(ROUND(Sheet1!P71/Sheet1!H71*100,2),"")</f>
        <v/>
      </c>
      <c r="AC64" s="1" t="str">
        <f>IFERROR(ROUND(Sheet1!N71/Sheet1!H71*100,2),"")</f>
        <v/>
      </c>
      <c r="AE64" s="1" t="str">
        <f>IFERROR(ROUND(Sheet1!Q71/Sheet1!H71*M64,0),"")</f>
        <v/>
      </c>
      <c r="AF64" s="1" t="str">
        <f>IFERROR(ROUND(Sheet1!Q71/Sheet1!H71*100,2),"")</f>
        <v/>
      </c>
      <c r="AH64" s="1" t="str">
        <f>IFERROR(ROUND(Sheet1!R71/Sheet1!H71*M64,0),"")</f>
        <v/>
      </c>
      <c r="AI64" s="1" t="str">
        <f>IFERROR(ROUND(Sheet1!R71/Sheet1!H71*100,2),"")</f>
        <v/>
      </c>
      <c r="AK64" s="1" t="str">
        <f t="shared" si="4"/>
        <v/>
      </c>
      <c r="AL64" s="1" t="str">
        <f>IFERROR(ROUND(Sheet1!U71/Sheet1!S71*M64,0),"")</f>
        <v/>
      </c>
      <c r="AM64" s="1" t="str">
        <f>IFERROR(ROUND(Sheet1!U71/Sheet1!T71*100,2),"")</f>
        <v/>
      </c>
      <c r="AQ64" s="1" t="str">
        <f>IFERROR(ROUND(Sheet1!W71/Sheet1!V71*M64,0),"")</f>
        <v/>
      </c>
      <c r="AR64" s="1" t="str">
        <f>IFERROR(ROUND(Sheet1!W71/Sheet1!V71*100,2),"")</f>
        <v/>
      </c>
      <c r="AT64" s="1" t="str">
        <f>IFERROR(ROUND(Sheet1!Y71/Sheet1!V71*M64,0),"")</f>
        <v/>
      </c>
      <c r="AU64" s="1" t="str">
        <f>IFERROR(ROUND(Sheet1!Y71/Sheet1!V71*100,2),"")</f>
        <v/>
      </c>
      <c r="AW64" s="1" t="str">
        <f>IFERROR(ROUND(Sheet1!X71/Sheet1!V71*M64,0),"")</f>
        <v/>
      </c>
      <c r="AX64" s="1" t="str">
        <f>IFERROR(ROUND(Sheet1!X71/Sheet1!V71*100,2),"")</f>
        <v/>
      </c>
      <c r="AZ64" s="1" t="str">
        <f>IFERROR(ROUND(Sheet1!Z71/Sheet1!V71*M64,0),"")</f>
        <v/>
      </c>
      <c r="BA64" s="1" t="str">
        <f>IFERROR(ROUND(Sheet1!Z71/Sheet1!V71*100,2),"")</f>
        <v/>
      </c>
      <c r="BC64" s="1" t="str">
        <f>IFERROR(ROUND(Sheet1!AB71/Sheet1!AA71*Sheet1!D71,0),"")</f>
        <v/>
      </c>
      <c r="BD64" s="1" t="str">
        <f>IFERROR(ROUND(Sheet1!AB71/Sheet1!AA71*100,2),"")</f>
        <v/>
      </c>
      <c r="BF64" s="1" t="str">
        <f>IFERROR(ROUND(Sheet1!AD71/Sheet1!AA71*Sheet1!D71,0),"")</f>
        <v/>
      </c>
      <c r="BG64" s="1" t="str">
        <f>IFERROR(ROUND(Sheet1!AC71/Sheet1!AA71*100,2),"")</f>
        <v/>
      </c>
      <c r="BI64" s="1" t="str">
        <f>IFERROR(ROUND(Sheet1!AC71/Sheet1!AA71*Sheet1!D71,0),"")</f>
        <v/>
      </c>
      <c r="BJ64" s="1" t="str">
        <f>IFERROR(ROUND(Sheet1!AD71/Sheet1!AA71*100,2),"")</f>
        <v/>
      </c>
    </row>
    <row r="65" spans="1:62">
      <c r="A65" s="2" t="str">
        <f>IF(Sheet1!B72="","",Sheet1!B72)</f>
        <v/>
      </c>
      <c r="B65" s="2" t="str">
        <f>IF(Sheet1!C72="","",Sheet1!C72)</f>
        <v/>
      </c>
      <c r="C65" s="40" t="str">
        <f>IF(Sheet1!D72="","",Sheet1!D72)</f>
        <v/>
      </c>
      <c r="D65" s="1" t="str">
        <f>IFERROR(ROUND(Sheet1!D72*Sheet1!F72/Sheet1!E72,2),"")</f>
        <v/>
      </c>
      <c r="E65" s="1" t="str">
        <f>IFERROR(ROUND(Sheet1!F72/Sheet1!E72*100,2),"")</f>
        <v/>
      </c>
      <c r="G65" s="1" t="str">
        <f>IFERROR(ROUND(Sheet1!D72*Sheet1!J72/Sheet1!G72,0),"")</f>
        <v/>
      </c>
      <c r="H65" s="1" t="str">
        <f>IFERROR(ROUND(Sheet1!J72/Sheet1!G72*100,2),"")</f>
        <v/>
      </c>
      <c r="J65" s="1" t="str">
        <f>IFERROR(ROUND(Sheet1!D72*Sheet1!K72/Sheet1!G72,0),"")</f>
        <v/>
      </c>
      <c r="K65" s="1" t="str">
        <f>IFERROR(ROUND(Sheet1!K72/Sheet1!G72*100,2),"")</f>
        <v/>
      </c>
      <c r="M65" s="1" t="str">
        <f>IFERROR(ROUND(Sheet1!D72*Sheet1!I72/Sheet1!G72,0),"")</f>
        <v/>
      </c>
      <c r="N65" s="1" t="str">
        <f>IFERROR(ROUND(Sheet1!I72/Sheet1!G72*100,2),"")</f>
        <v/>
      </c>
      <c r="P65" s="1" t="str">
        <f>IFERROR(ROUND(Sheet1!L72/Sheet1!H72*M65,0),"")</f>
        <v/>
      </c>
      <c r="Q65" s="1" t="str">
        <f>IFERROR(ROUND(Sheet1!L72/Sheet1!H72*100,2),"")</f>
        <v/>
      </c>
      <c r="S65" s="1" t="str">
        <f>IFERROR(ROUND(Sheet1!M72/Sheet1!H72*M65,0),"")</f>
        <v/>
      </c>
      <c r="T65" s="1" t="str">
        <f>IFERROR(ROUND(Sheet1!M72/Sheet1!H72*100,2),"")</f>
        <v/>
      </c>
      <c r="V65" s="1" t="str">
        <f>IFERROR(ROUND(Sheet1!O72/Sheet1!H72*M65,0),"")</f>
        <v/>
      </c>
      <c r="W65" s="1" t="str">
        <f>IFERROR(ROUND(Sheet1!O72/Sheet1!H72*100,2),"")</f>
        <v/>
      </c>
      <c r="AA65" s="1" t="str">
        <f>IFERROR(ROUND(Sheet1!P72/Sheet1!H72*100,2),"")</f>
        <v/>
      </c>
      <c r="AC65" s="1" t="str">
        <f>IFERROR(ROUND(Sheet1!N72/Sheet1!H72*100,2),"")</f>
        <v/>
      </c>
      <c r="AE65" s="1" t="str">
        <f>IFERROR(ROUND(Sheet1!Q72/Sheet1!H72*M65,0),"")</f>
        <v/>
      </c>
      <c r="AF65" s="1" t="str">
        <f>IFERROR(ROUND(Sheet1!Q72/Sheet1!H72*100,2),"")</f>
        <v/>
      </c>
      <c r="AH65" s="1" t="str">
        <f>IFERROR(ROUND(Sheet1!R72/Sheet1!H72*M65,0),"")</f>
        <v/>
      </c>
      <c r="AI65" s="1" t="str">
        <f>IFERROR(ROUND(Sheet1!R72/Sheet1!H72*100,2),"")</f>
        <v/>
      </c>
      <c r="AK65" s="1" t="str">
        <f t="shared" si="4"/>
        <v/>
      </c>
      <c r="AL65" s="1" t="str">
        <f>IFERROR(ROUND(Sheet1!U72/Sheet1!S72*M65,0),"")</f>
        <v/>
      </c>
      <c r="AM65" s="1" t="str">
        <f>IFERROR(ROUND(Sheet1!U72/Sheet1!T72*100,2),"")</f>
        <v/>
      </c>
      <c r="AQ65" s="1" t="str">
        <f>IFERROR(ROUND(Sheet1!W72/Sheet1!V72*M65,0),"")</f>
        <v/>
      </c>
      <c r="AR65" s="1" t="str">
        <f>IFERROR(ROUND(Sheet1!W72/Sheet1!V72*100,2),"")</f>
        <v/>
      </c>
      <c r="AT65" s="1" t="str">
        <f>IFERROR(ROUND(Sheet1!Y72/Sheet1!V72*M65,0),"")</f>
        <v/>
      </c>
      <c r="AU65" s="1" t="str">
        <f>IFERROR(ROUND(Sheet1!Y72/Sheet1!V72*100,2),"")</f>
        <v/>
      </c>
      <c r="AW65" s="1" t="str">
        <f>IFERROR(ROUND(Sheet1!X72/Sheet1!V72*M65,0),"")</f>
        <v/>
      </c>
      <c r="AX65" s="1" t="str">
        <f>IFERROR(ROUND(Sheet1!X72/Sheet1!V72*100,2),"")</f>
        <v/>
      </c>
      <c r="AZ65" s="1" t="str">
        <f>IFERROR(ROUND(Sheet1!Z72/Sheet1!V72*M65,0),"")</f>
        <v/>
      </c>
      <c r="BA65" s="1" t="str">
        <f>IFERROR(ROUND(Sheet1!Z72/Sheet1!V72*100,2),"")</f>
        <v/>
      </c>
      <c r="BC65" s="1" t="str">
        <f>IFERROR(ROUND(Sheet1!AB72/Sheet1!AA72*Sheet1!D72,0),"")</f>
        <v/>
      </c>
      <c r="BD65" s="1" t="str">
        <f>IFERROR(ROUND(Sheet1!AB72/Sheet1!AA72*100,2),"")</f>
        <v/>
      </c>
      <c r="BF65" s="1" t="str">
        <f>IFERROR(ROUND(Sheet1!AD72/Sheet1!AA72*Sheet1!D72,0),"")</f>
        <v/>
      </c>
      <c r="BG65" s="1" t="str">
        <f>IFERROR(ROUND(Sheet1!AC72/Sheet1!AA72*100,2),"")</f>
        <v/>
      </c>
      <c r="BI65" s="1" t="str">
        <f>IFERROR(ROUND(Sheet1!AC72/Sheet1!AA72*Sheet1!D72,0),"")</f>
        <v/>
      </c>
      <c r="BJ65" s="1" t="str">
        <f>IFERROR(ROUND(Sheet1!AD72/Sheet1!AA72*100,2),"")</f>
        <v/>
      </c>
    </row>
    <row r="66" spans="1:62">
      <c r="A66" s="2" t="str">
        <f>IF(Sheet1!B73="","",Sheet1!B73)</f>
        <v/>
      </c>
      <c r="B66" s="2" t="str">
        <f>IF(Sheet1!C73="","",Sheet1!C73)</f>
        <v/>
      </c>
      <c r="C66" s="40" t="str">
        <f>IF(Sheet1!D73="","",Sheet1!D73)</f>
        <v/>
      </c>
      <c r="D66" s="1" t="str">
        <f>IFERROR(ROUND(Sheet1!D73*Sheet1!F73/Sheet1!E73,2),"")</f>
        <v/>
      </c>
      <c r="E66" s="1" t="str">
        <f>IFERROR(ROUND(Sheet1!F73/Sheet1!E73*100,2),"")</f>
        <v/>
      </c>
      <c r="G66" s="1" t="str">
        <f>IFERROR(ROUND(Sheet1!D73*Sheet1!J73/Sheet1!G73,0),"")</f>
        <v/>
      </c>
      <c r="H66" s="1" t="str">
        <f>IFERROR(ROUND(Sheet1!J73/Sheet1!G73*100,2),"")</f>
        <v/>
      </c>
      <c r="J66" s="1" t="str">
        <f>IFERROR(ROUND(Sheet1!D73*Sheet1!K73/Sheet1!G73,0),"")</f>
        <v/>
      </c>
      <c r="K66" s="1" t="str">
        <f>IFERROR(ROUND(Sheet1!K73/Sheet1!G73*100,2),"")</f>
        <v/>
      </c>
      <c r="M66" s="1" t="str">
        <f>IFERROR(ROUND(Sheet1!D73*Sheet1!I73/Sheet1!G73,0),"")</f>
        <v/>
      </c>
      <c r="N66" s="1" t="str">
        <f>IFERROR(ROUND(Sheet1!I73/Sheet1!G73*100,2),"")</f>
        <v/>
      </c>
      <c r="P66" s="1" t="str">
        <f>IFERROR(ROUND(Sheet1!L73/Sheet1!H73*M66,0),"")</f>
        <v/>
      </c>
      <c r="Q66" s="1" t="str">
        <f>IFERROR(ROUND(Sheet1!L73/Sheet1!H73*100,2),"")</f>
        <v/>
      </c>
      <c r="S66" s="1" t="str">
        <f>IFERROR(ROUND(Sheet1!M73/Sheet1!H73*M66,0),"")</f>
        <v/>
      </c>
      <c r="T66" s="1" t="str">
        <f>IFERROR(ROUND(Sheet1!M73/Sheet1!H73*100,2),"")</f>
        <v/>
      </c>
      <c r="V66" s="1" t="str">
        <f>IFERROR(ROUND(Sheet1!O73/Sheet1!H73*M66,0),"")</f>
        <v/>
      </c>
      <c r="W66" s="1" t="str">
        <f>IFERROR(ROUND(Sheet1!O73/Sheet1!H73*100,2),"")</f>
        <v/>
      </c>
      <c r="AA66" s="1" t="str">
        <f>IFERROR(ROUND(Sheet1!P73/Sheet1!H73*100,2),"")</f>
        <v/>
      </c>
      <c r="AC66" s="1" t="str">
        <f>IFERROR(ROUND(Sheet1!N73/Sheet1!H73*100,2),"")</f>
        <v/>
      </c>
      <c r="AE66" s="1" t="str">
        <f>IFERROR(ROUND(Sheet1!Q73/Sheet1!H73*M66,0),"")</f>
        <v/>
      </c>
      <c r="AF66" s="1" t="str">
        <f>IFERROR(ROUND(Sheet1!Q73/Sheet1!H73*100,2),"")</f>
        <v/>
      </c>
      <c r="AH66" s="1" t="str">
        <f>IFERROR(ROUND(Sheet1!R73/Sheet1!H73*M66,0),"")</f>
        <v/>
      </c>
      <c r="AI66" s="1" t="str">
        <f>IFERROR(ROUND(Sheet1!R73/Sheet1!H73*100,2),"")</f>
        <v/>
      </c>
      <c r="AK66" s="1" t="str">
        <f t="shared" si="4"/>
        <v/>
      </c>
      <c r="AL66" s="1" t="str">
        <f>IFERROR(ROUND(Sheet1!U73/Sheet1!S73*M66,0),"")</f>
        <v/>
      </c>
      <c r="AM66" s="1" t="str">
        <f>IFERROR(ROUND(Sheet1!U73/Sheet1!T73*100,2),"")</f>
        <v/>
      </c>
      <c r="AQ66" s="1" t="str">
        <f>IFERROR(ROUND(Sheet1!W73/Sheet1!V73*M66,0),"")</f>
        <v/>
      </c>
      <c r="AR66" s="1" t="str">
        <f>IFERROR(ROUND(Sheet1!W73/Sheet1!V73*100,2),"")</f>
        <v/>
      </c>
      <c r="AT66" s="1" t="str">
        <f>IFERROR(ROUND(Sheet1!Y73/Sheet1!V73*M66,0),"")</f>
        <v/>
      </c>
      <c r="AU66" s="1" t="str">
        <f>IFERROR(ROUND(Sheet1!Y73/Sheet1!V73*100,2),"")</f>
        <v/>
      </c>
      <c r="AW66" s="1" t="str">
        <f>IFERROR(ROUND(Sheet1!X73/Sheet1!V73*M66,0),"")</f>
        <v/>
      </c>
      <c r="AX66" s="1" t="str">
        <f>IFERROR(ROUND(Sheet1!X73/Sheet1!V73*100,2),"")</f>
        <v/>
      </c>
      <c r="AZ66" s="1" t="str">
        <f>IFERROR(ROUND(Sheet1!Z73/Sheet1!V73*M66,0),"")</f>
        <v/>
      </c>
      <c r="BA66" s="1" t="str">
        <f>IFERROR(ROUND(Sheet1!Z73/Sheet1!V73*100,2),"")</f>
        <v/>
      </c>
      <c r="BC66" s="1" t="str">
        <f>IFERROR(ROUND(Sheet1!AB73/Sheet1!AA73*Sheet1!D73,0),"")</f>
        <v/>
      </c>
      <c r="BD66" s="1" t="str">
        <f>IFERROR(ROUND(Sheet1!AB73/Sheet1!AA73*100,2),"")</f>
        <v/>
      </c>
      <c r="BF66" s="1" t="str">
        <f>IFERROR(ROUND(Sheet1!AD73/Sheet1!AA73*Sheet1!D73,0),"")</f>
        <v/>
      </c>
      <c r="BG66" s="1" t="str">
        <f>IFERROR(ROUND(Sheet1!AC73/Sheet1!AA73*100,2),"")</f>
        <v/>
      </c>
      <c r="BI66" s="1" t="str">
        <f>IFERROR(ROUND(Sheet1!AC73/Sheet1!AA73*Sheet1!D73,0),"")</f>
        <v/>
      </c>
      <c r="BJ66" s="1" t="str">
        <f>IFERROR(ROUND(Sheet1!AD73/Sheet1!AA73*100,2),"")</f>
        <v/>
      </c>
    </row>
    <row r="67" spans="1:62">
      <c r="A67" s="2" t="str">
        <f>IF(Sheet1!B74="","",Sheet1!B74)</f>
        <v/>
      </c>
      <c r="B67" s="2" t="str">
        <f>IF(Sheet1!C74="","",Sheet1!C74)</f>
        <v/>
      </c>
      <c r="C67" s="40" t="str">
        <f>IF(Sheet1!D74="","",Sheet1!D74)</f>
        <v/>
      </c>
      <c r="D67" s="1" t="str">
        <f>IFERROR(ROUND(Sheet1!D74*Sheet1!F74/Sheet1!E74,2),"")</f>
        <v/>
      </c>
      <c r="E67" s="1" t="str">
        <f>IFERROR(ROUND(Sheet1!F74/Sheet1!E74*100,2),"")</f>
        <v/>
      </c>
      <c r="G67" s="1" t="str">
        <f>IFERROR(ROUND(Sheet1!D74*Sheet1!J74/Sheet1!G74,0),"")</f>
        <v/>
      </c>
      <c r="H67" s="1" t="str">
        <f>IFERROR(ROUND(Sheet1!J74/Sheet1!G74*100,2),"")</f>
        <v/>
      </c>
      <c r="J67" s="1" t="str">
        <f>IFERROR(ROUND(Sheet1!D74*Sheet1!K74/Sheet1!G74,0),"")</f>
        <v/>
      </c>
      <c r="K67" s="1" t="str">
        <f>IFERROR(ROUND(Sheet1!K74/Sheet1!G74*100,2),"")</f>
        <v/>
      </c>
      <c r="M67" s="1" t="str">
        <f>IFERROR(ROUND(Sheet1!D74*Sheet1!I74/Sheet1!G74,0),"")</f>
        <v/>
      </c>
      <c r="N67" s="1" t="str">
        <f>IFERROR(ROUND(Sheet1!I74/Sheet1!G74*100,2),"")</f>
        <v/>
      </c>
      <c r="P67" s="1" t="str">
        <f>IFERROR(ROUND(Sheet1!L74/Sheet1!H74*M67,0),"")</f>
        <v/>
      </c>
      <c r="Q67" s="1" t="str">
        <f>IFERROR(ROUND(Sheet1!L74/Sheet1!H74*100,2),"")</f>
        <v/>
      </c>
      <c r="S67" s="1" t="str">
        <f>IFERROR(ROUND(Sheet1!M74/Sheet1!H74*M67,0),"")</f>
        <v/>
      </c>
      <c r="T67" s="1" t="str">
        <f>IFERROR(ROUND(Sheet1!M74/Sheet1!H74*100,2),"")</f>
        <v/>
      </c>
      <c r="V67" s="1" t="str">
        <f>IFERROR(ROUND(Sheet1!O74/Sheet1!H74*M67,0),"")</f>
        <v/>
      </c>
      <c r="W67" s="1" t="str">
        <f>IFERROR(ROUND(Sheet1!O74/Sheet1!H74*100,2),"")</f>
        <v/>
      </c>
      <c r="AA67" s="1" t="str">
        <f>IFERROR(ROUND(Sheet1!P74/Sheet1!H74*100,2),"")</f>
        <v/>
      </c>
      <c r="AC67" s="1" t="str">
        <f>IFERROR(ROUND(Sheet1!N74/Sheet1!H74*100,2),"")</f>
        <v/>
      </c>
      <c r="AE67" s="1" t="str">
        <f>IFERROR(ROUND(Sheet1!Q74/Sheet1!H74*M67,0),"")</f>
        <v/>
      </c>
      <c r="AF67" s="1" t="str">
        <f>IFERROR(ROUND(Sheet1!Q74/Sheet1!H74*100,2),"")</f>
        <v/>
      </c>
      <c r="AH67" s="1" t="str">
        <f>IFERROR(ROUND(Sheet1!R74/Sheet1!H74*M67,0),"")</f>
        <v/>
      </c>
      <c r="AI67" s="1" t="str">
        <f>IFERROR(ROUND(Sheet1!R74/Sheet1!H74*100,2),"")</f>
        <v/>
      </c>
      <c r="AK67" s="1" t="str">
        <f t="shared" si="4"/>
        <v/>
      </c>
      <c r="AL67" s="1" t="str">
        <f>IFERROR(ROUND(Sheet1!U74/Sheet1!S74*M67,0),"")</f>
        <v/>
      </c>
      <c r="AM67" s="1" t="str">
        <f>IFERROR(ROUND(Sheet1!U74/Sheet1!T74*100,2),"")</f>
        <v/>
      </c>
      <c r="AQ67" s="1" t="str">
        <f>IFERROR(ROUND(Sheet1!W74/Sheet1!V74*M67,0),"")</f>
        <v/>
      </c>
      <c r="AR67" s="1" t="str">
        <f>IFERROR(ROUND(Sheet1!W74/Sheet1!V74*100,2),"")</f>
        <v/>
      </c>
      <c r="AT67" s="1" t="str">
        <f>IFERROR(ROUND(Sheet1!Y74/Sheet1!V74*M67,0),"")</f>
        <v/>
      </c>
      <c r="AU67" s="1" t="str">
        <f>IFERROR(ROUND(Sheet1!Y74/Sheet1!V74*100,2),"")</f>
        <v/>
      </c>
      <c r="AW67" s="1" t="str">
        <f>IFERROR(ROUND(Sheet1!X74/Sheet1!V74*M67,0),"")</f>
        <v/>
      </c>
      <c r="AX67" s="1" t="str">
        <f>IFERROR(ROUND(Sheet1!X74/Sheet1!V74*100,2),"")</f>
        <v/>
      </c>
      <c r="AZ67" s="1" t="str">
        <f>IFERROR(ROUND(Sheet1!Z74/Sheet1!V74*M67,0),"")</f>
        <v/>
      </c>
      <c r="BA67" s="1" t="str">
        <f>IFERROR(ROUND(Sheet1!Z74/Sheet1!V74*100,2),"")</f>
        <v/>
      </c>
      <c r="BC67" s="1" t="str">
        <f>IFERROR(ROUND(Sheet1!AB74/Sheet1!AA74*Sheet1!D74,0),"")</f>
        <v/>
      </c>
      <c r="BD67" s="1" t="str">
        <f>IFERROR(ROUND(Sheet1!AB74/Sheet1!AA74*100,2),"")</f>
        <v/>
      </c>
      <c r="BF67" s="1" t="str">
        <f>IFERROR(ROUND(Sheet1!AD74/Sheet1!AA74*Sheet1!D74,0),"")</f>
        <v/>
      </c>
      <c r="BG67" s="1" t="str">
        <f>IFERROR(ROUND(Sheet1!AC74/Sheet1!AA74*100,2),"")</f>
        <v/>
      </c>
      <c r="BI67" s="1" t="str">
        <f>IFERROR(ROUND(Sheet1!AC74/Sheet1!AA74*Sheet1!D74,0),"")</f>
        <v/>
      </c>
      <c r="BJ67" s="1" t="str">
        <f>IFERROR(ROUND(Sheet1!AD74/Sheet1!AA74*100,2),"")</f>
        <v/>
      </c>
    </row>
    <row r="68" spans="1:62">
      <c r="A68" s="2" t="str">
        <f>IF(Sheet1!B75="","",Sheet1!B75)</f>
        <v/>
      </c>
      <c r="B68" s="2" t="str">
        <f>IF(Sheet1!C75="","",Sheet1!C75)</f>
        <v/>
      </c>
      <c r="C68" s="40" t="str">
        <f>IF(Sheet1!D75="","",Sheet1!D75)</f>
        <v/>
      </c>
      <c r="D68" s="1" t="str">
        <f>IFERROR(ROUND(Sheet1!D75*Sheet1!F75/Sheet1!E75,2),"")</f>
        <v/>
      </c>
      <c r="E68" s="1" t="str">
        <f>IFERROR(ROUND(Sheet1!F75/Sheet1!E75*100,2),"")</f>
        <v/>
      </c>
      <c r="G68" s="1" t="str">
        <f>IFERROR(ROUND(Sheet1!D75*Sheet1!J75/Sheet1!G75,0),"")</f>
        <v/>
      </c>
      <c r="H68" s="1" t="str">
        <f>IFERROR(ROUND(Sheet1!J75/Sheet1!G75*100,2),"")</f>
        <v/>
      </c>
      <c r="J68" s="1" t="str">
        <f>IFERROR(ROUND(Sheet1!D75*Sheet1!K75/Sheet1!G75,0),"")</f>
        <v/>
      </c>
      <c r="K68" s="1" t="str">
        <f>IFERROR(ROUND(Sheet1!K75/Sheet1!G75*100,2),"")</f>
        <v/>
      </c>
      <c r="M68" s="1" t="str">
        <f>IFERROR(ROUND(Sheet1!D75*Sheet1!I75/Sheet1!G75,0),"")</f>
        <v/>
      </c>
      <c r="N68" s="1" t="str">
        <f>IFERROR(ROUND(Sheet1!I75/Sheet1!G75*100,2),"")</f>
        <v/>
      </c>
      <c r="P68" s="1" t="str">
        <f>IFERROR(ROUND(Sheet1!L75/Sheet1!H75*M68,0),"")</f>
        <v/>
      </c>
      <c r="Q68" s="1" t="str">
        <f>IFERROR(ROUND(Sheet1!L75/Sheet1!H75*100,2),"")</f>
        <v/>
      </c>
      <c r="S68" s="1" t="str">
        <f>IFERROR(ROUND(Sheet1!M75/Sheet1!H75*M68,0),"")</f>
        <v/>
      </c>
      <c r="T68" s="1" t="str">
        <f>IFERROR(ROUND(Sheet1!M75/Sheet1!H75*100,2),"")</f>
        <v/>
      </c>
      <c r="V68" s="1" t="str">
        <f>IFERROR(ROUND(Sheet1!O75/Sheet1!H75*M68,0),"")</f>
        <v/>
      </c>
      <c r="W68" s="1" t="str">
        <f>IFERROR(ROUND(Sheet1!O75/Sheet1!H75*100,2),"")</f>
        <v/>
      </c>
      <c r="AA68" s="1" t="str">
        <f>IFERROR(ROUND(Sheet1!P75/Sheet1!H75*100,2),"")</f>
        <v/>
      </c>
      <c r="AC68" s="1" t="str">
        <f>IFERROR(ROUND(Sheet1!N75/Sheet1!H75*100,2),"")</f>
        <v/>
      </c>
      <c r="AE68" s="1" t="str">
        <f>IFERROR(ROUND(Sheet1!Q75/Sheet1!H75*M68,0),"")</f>
        <v/>
      </c>
      <c r="AF68" s="1" t="str">
        <f>IFERROR(ROUND(Sheet1!Q75/Sheet1!H75*100,2),"")</f>
        <v/>
      </c>
      <c r="AH68" s="1" t="str">
        <f>IFERROR(ROUND(Sheet1!R75/Sheet1!H75*M68,0),"")</f>
        <v/>
      </c>
      <c r="AI68" s="1" t="str">
        <f>IFERROR(ROUND(Sheet1!R75/Sheet1!H75*100,2),"")</f>
        <v/>
      </c>
      <c r="AK68" s="1" t="str">
        <f t="shared" si="4"/>
        <v/>
      </c>
      <c r="AL68" s="1" t="str">
        <f>IFERROR(ROUND(Sheet1!U75/Sheet1!S75*M68,0),"")</f>
        <v/>
      </c>
      <c r="AM68" s="1" t="str">
        <f>IFERROR(ROUND(Sheet1!U75/Sheet1!T75*100,2),"")</f>
        <v/>
      </c>
      <c r="AQ68" s="1" t="str">
        <f>IFERROR(ROUND(Sheet1!W75/Sheet1!V75*M68,0),"")</f>
        <v/>
      </c>
      <c r="AR68" s="1" t="str">
        <f>IFERROR(ROUND(Sheet1!W75/Sheet1!V75*100,2),"")</f>
        <v/>
      </c>
      <c r="AT68" s="1" t="str">
        <f>IFERROR(ROUND(Sheet1!Y75/Sheet1!V75*M68,0),"")</f>
        <v/>
      </c>
      <c r="AU68" s="1" t="str">
        <f>IFERROR(ROUND(Sheet1!Y75/Sheet1!V75*100,2),"")</f>
        <v/>
      </c>
      <c r="AW68" s="1" t="str">
        <f>IFERROR(ROUND(Sheet1!X75/Sheet1!V75*M68,0),"")</f>
        <v/>
      </c>
      <c r="AX68" s="1" t="str">
        <f>IFERROR(ROUND(Sheet1!X75/Sheet1!V75*100,2),"")</f>
        <v/>
      </c>
      <c r="AZ68" s="1" t="str">
        <f>IFERROR(ROUND(Sheet1!Z75/Sheet1!V75*M68,0),"")</f>
        <v/>
      </c>
      <c r="BA68" s="1" t="str">
        <f>IFERROR(ROUND(Sheet1!Z75/Sheet1!V75*100,2),"")</f>
        <v/>
      </c>
      <c r="BC68" s="1" t="str">
        <f>IFERROR(ROUND(Sheet1!AB75/Sheet1!AA75*Sheet1!D75,0),"")</f>
        <v/>
      </c>
      <c r="BD68" s="1" t="str">
        <f>IFERROR(ROUND(Sheet1!AB75/Sheet1!AA75*100,2),"")</f>
        <v/>
      </c>
      <c r="BF68" s="1" t="str">
        <f>IFERROR(ROUND(Sheet1!AD75/Sheet1!AA75*Sheet1!D75,0),"")</f>
        <v/>
      </c>
      <c r="BG68" s="1" t="str">
        <f>IFERROR(ROUND(Sheet1!AC75/Sheet1!AA75*100,2),"")</f>
        <v/>
      </c>
      <c r="BI68" s="1" t="str">
        <f>IFERROR(ROUND(Sheet1!AC75/Sheet1!AA75*Sheet1!D75,0),"")</f>
        <v/>
      </c>
      <c r="BJ68" s="1" t="str">
        <f>IFERROR(ROUND(Sheet1!AD75/Sheet1!AA75*100,2),"")</f>
        <v/>
      </c>
    </row>
    <row r="69" spans="1:62">
      <c r="A69" s="2" t="str">
        <f>IF(Sheet1!B76="","",Sheet1!B76)</f>
        <v/>
      </c>
      <c r="B69" s="2" t="str">
        <f>IF(Sheet1!C76="","",Sheet1!C76)</f>
        <v/>
      </c>
      <c r="C69" s="40" t="str">
        <f>IF(Sheet1!D76="","",Sheet1!D76)</f>
        <v/>
      </c>
      <c r="D69" s="1" t="str">
        <f>IFERROR(ROUND(Sheet1!D76*Sheet1!F76/Sheet1!E76,2),"")</f>
        <v/>
      </c>
      <c r="E69" s="1" t="str">
        <f>IFERROR(ROUND(Sheet1!F76/Sheet1!E76*100,2),"")</f>
        <v/>
      </c>
      <c r="G69" s="1" t="str">
        <f>IFERROR(ROUND(Sheet1!D76*Sheet1!J76/Sheet1!G76,0),"")</f>
        <v/>
      </c>
      <c r="H69" s="1" t="str">
        <f>IFERROR(ROUND(Sheet1!J76/Sheet1!G76*100,2),"")</f>
        <v/>
      </c>
      <c r="J69" s="1" t="str">
        <f>IFERROR(ROUND(Sheet1!D76*Sheet1!K76/Sheet1!G76,0),"")</f>
        <v/>
      </c>
      <c r="K69" s="1" t="str">
        <f>IFERROR(ROUND(Sheet1!K76/Sheet1!G76*100,2),"")</f>
        <v/>
      </c>
      <c r="M69" s="1" t="str">
        <f>IFERROR(ROUND(Sheet1!D76*Sheet1!I76/Sheet1!G76,0),"")</f>
        <v/>
      </c>
      <c r="N69" s="1" t="str">
        <f>IFERROR(ROUND(Sheet1!I76/Sheet1!G76*100,2),"")</f>
        <v/>
      </c>
      <c r="P69" s="1" t="str">
        <f>IFERROR(ROUND(Sheet1!L76/Sheet1!H76*M69,0),"")</f>
        <v/>
      </c>
      <c r="Q69" s="1" t="str">
        <f>IFERROR(ROUND(Sheet1!L76/Sheet1!H76*100,2),"")</f>
        <v/>
      </c>
      <c r="S69" s="1" t="str">
        <f>IFERROR(ROUND(Sheet1!M76/Sheet1!H76*M69,0),"")</f>
        <v/>
      </c>
      <c r="T69" s="1" t="str">
        <f>IFERROR(ROUND(Sheet1!M76/Sheet1!H76*100,2),"")</f>
        <v/>
      </c>
      <c r="V69" s="1" t="str">
        <f>IFERROR(ROUND(Sheet1!O76/Sheet1!H76*M69,0),"")</f>
        <v/>
      </c>
      <c r="W69" s="1" t="str">
        <f>IFERROR(ROUND(Sheet1!O76/Sheet1!H76*100,2),"")</f>
        <v/>
      </c>
      <c r="AA69" s="1" t="str">
        <f>IFERROR(ROUND(Sheet1!P76/Sheet1!H76*100,2),"")</f>
        <v/>
      </c>
      <c r="AC69" s="1" t="str">
        <f>IFERROR(ROUND(Sheet1!N76/Sheet1!H76*100,2),"")</f>
        <v/>
      </c>
      <c r="AE69" s="1" t="str">
        <f>IFERROR(ROUND(Sheet1!Q76/Sheet1!H76*M69,0),"")</f>
        <v/>
      </c>
      <c r="AF69" s="1" t="str">
        <f>IFERROR(ROUND(Sheet1!Q76/Sheet1!H76*100,2),"")</f>
        <v/>
      </c>
      <c r="AH69" s="1" t="str">
        <f>IFERROR(ROUND(Sheet1!R76/Sheet1!H76*M69,0),"")</f>
        <v/>
      </c>
      <c r="AI69" s="1" t="str">
        <f>IFERROR(ROUND(Sheet1!R76/Sheet1!H76*100,2),"")</f>
        <v/>
      </c>
      <c r="AK69" s="1" t="str">
        <f t="shared" si="4"/>
        <v/>
      </c>
      <c r="AL69" s="1" t="str">
        <f>IFERROR(ROUND(Sheet1!U76/Sheet1!S76*M69,0),"")</f>
        <v/>
      </c>
      <c r="AM69" s="1" t="str">
        <f>IFERROR(ROUND(Sheet1!U76/Sheet1!T76*100,2),"")</f>
        <v/>
      </c>
      <c r="AQ69" s="1" t="str">
        <f>IFERROR(ROUND(Sheet1!W76/Sheet1!V76*M69,0),"")</f>
        <v/>
      </c>
      <c r="AR69" s="1" t="str">
        <f>IFERROR(ROUND(Sheet1!W76/Sheet1!V76*100,2),"")</f>
        <v/>
      </c>
      <c r="AT69" s="1" t="str">
        <f>IFERROR(ROUND(Sheet1!Y76/Sheet1!V76*M69,0),"")</f>
        <v/>
      </c>
      <c r="AU69" s="1" t="str">
        <f>IFERROR(ROUND(Sheet1!Y76/Sheet1!V76*100,2),"")</f>
        <v/>
      </c>
      <c r="AW69" s="1" t="str">
        <f>IFERROR(ROUND(Sheet1!X76/Sheet1!V76*M69,0),"")</f>
        <v/>
      </c>
      <c r="AX69" s="1" t="str">
        <f>IFERROR(ROUND(Sheet1!X76/Sheet1!V76*100,2),"")</f>
        <v/>
      </c>
      <c r="AZ69" s="1" t="str">
        <f>IFERROR(ROUND(Sheet1!Z76/Sheet1!V76*M69,0),"")</f>
        <v/>
      </c>
      <c r="BA69" s="1" t="str">
        <f>IFERROR(ROUND(Sheet1!Z76/Sheet1!V76*100,2),"")</f>
        <v/>
      </c>
      <c r="BC69" s="1" t="str">
        <f>IFERROR(ROUND(Sheet1!AB76/Sheet1!AA76*Sheet1!D76,0),"")</f>
        <v/>
      </c>
      <c r="BD69" s="1" t="str">
        <f>IFERROR(ROUND(Sheet1!AB76/Sheet1!AA76*100,2),"")</f>
        <v/>
      </c>
      <c r="BF69" s="1" t="str">
        <f>IFERROR(ROUND(Sheet1!AD76/Sheet1!AA76*Sheet1!D76,0),"")</f>
        <v/>
      </c>
      <c r="BG69" s="1" t="str">
        <f>IFERROR(ROUND(Sheet1!AC76/Sheet1!AA76*100,2),"")</f>
        <v/>
      </c>
      <c r="BI69" s="1" t="str">
        <f>IFERROR(ROUND(Sheet1!AC76/Sheet1!AA76*Sheet1!D76,0),"")</f>
        <v/>
      </c>
      <c r="BJ69" s="1" t="str">
        <f>IFERROR(ROUND(Sheet1!AD76/Sheet1!AA76*100,2),"")</f>
        <v/>
      </c>
    </row>
  </sheetData>
  <mergeCells count="2">
    <mergeCell ref="A1:A4"/>
    <mergeCell ref="B1:B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workbookViewId="0">
      <selection activeCell="F16" sqref="F16"/>
    </sheetView>
  </sheetViews>
  <sheetFormatPr defaultColWidth="10.8166666666667" defaultRowHeight="15.75"/>
  <cols>
    <col min="1" max="1" width="10.8166666666667" style="1"/>
    <col min="2" max="2" width="13.1833333333333" style="2" customWidth="1"/>
    <col min="3" max="3" width="15.8166666666667" style="3" customWidth="1"/>
    <col min="4" max="8" width="10.8166666666667" style="1"/>
    <col min="9" max="9" width="14.3" style="1" customWidth="1"/>
    <col min="10" max="10" width="14.5833333333333" style="1" customWidth="1"/>
    <col min="11" max="29" width="10.8166666666667" style="1"/>
    <col min="30" max="30" width="11.125" style="1" customWidth="1"/>
    <col min="31" max="16384" width="10.8166666666667" style="1"/>
  </cols>
  <sheetData>
    <row r="1" spans="1:30">
      <c r="A1" s="4" t="s">
        <v>119</v>
      </c>
      <c r="B1" s="5" t="s">
        <v>0</v>
      </c>
      <c r="C1" s="6" t="s">
        <v>1</v>
      </c>
      <c r="D1" s="7" t="s">
        <v>120</v>
      </c>
      <c r="E1" s="8"/>
      <c r="F1" s="9"/>
      <c r="G1" s="10" t="s">
        <v>121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25"/>
      <c r="S1" s="26" t="s">
        <v>122</v>
      </c>
      <c r="T1" s="27"/>
      <c r="U1" s="28"/>
      <c r="V1" s="29" t="s">
        <v>123</v>
      </c>
      <c r="W1" s="29"/>
      <c r="X1" s="29"/>
      <c r="Y1" s="29"/>
      <c r="Z1" s="29"/>
      <c r="AA1" s="36" t="s">
        <v>124</v>
      </c>
      <c r="AB1" s="36"/>
      <c r="AC1" s="36"/>
      <c r="AD1" s="36"/>
    </row>
    <row r="2" spans="1:30">
      <c r="A2" s="4"/>
      <c r="B2" s="5"/>
      <c r="C2" s="12"/>
      <c r="D2" s="13"/>
      <c r="E2" s="14"/>
      <c r="F2" s="15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30"/>
      <c r="S2" s="31"/>
      <c r="T2" s="32"/>
      <c r="U2" s="33"/>
      <c r="V2" s="29"/>
      <c r="W2" s="29"/>
      <c r="X2" s="29"/>
      <c r="Y2" s="29"/>
      <c r="Z2" s="29"/>
      <c r="AA2" s="36"/>
      <c r="AB2" s="36"/>
      <c r="AC2" s="36"/>
      <c r="AD2" s="36"/>
    </row>
    <row r="3" s="1" customFormat="1" ht="16.5" spans="1:30">
      <c r="A3" s="4"/>
      <c r="B3" s="5"/>
      <c r="C3" s="12"/>
      <c r="D3" s="18" t="s">
        <v>125</v>
      </c>
      <c r="E3" s="18" t="s">
        <v>126</v>
      </c>
      <c r="F3" s="18" t="s">
        <v>127</v>
      </c>
      <c r="G3" s="19" t="s">
        <v>128</v>
      </c>
      <c r="H3" s="19" t="s">
        <v>129</v>
      </c>
      <c r="I3" s="19" t="s">
        <v>130</v>
      </c>
      <c r="J3" s="19" t="s">
        <v>131</v>
      </c>
      <c r="K3" s="19" t="s">
        <v>132</v>
      </c>
      <c r="L3" s="19" t="s">
        <v>133</v>
      </c>
      <c r="M3" s="19" t="s">
        <v>134</v>
      </c>
      <c r="N3" s="19" t="s">
        <v>135</v>
      </c>
      <c r="O3" s="19" t="s">
        <v>136</v>
      </c>
      <c r="P3" s="19" t="s">
        <v>137</v>
      </c>
      <c r="Q3" s="19" t="s">
        <v>138</v>
      </c>
      <c r="R3" s="19" t="s">
        <v>139</v>
      </c>
      <c r="S3" s="34" t="s">
        <v>140</v>
      </c>
      <c r="T3" s="34" t="s">
        <v>141</v>
      </c>
      <c r="U3" s="34" t="s">
        <v>142</v>
      </c>
      <c r="V3" s="35" t="s">
        <v>143</v>
      </c>
      <c r="W3" s="35" t="s">
        <v>144</v>
      </c>
      <c r="X3" s="35" t="s">
        <v>145</v>
      </c>
      <c r="Y3" s="35" t="s">
        <v>146</v>
      </c>
      <c r="Z3" s="35" t="s">
        <v>147</v>
      </c>
      <c r="AA3" s="37" t="s">
        <v>148</v>
      </c>
      <c r="AB3" s="38" t="s">
        <v>149</v>
      </c>
      <c r="AC3" s="38" t="s">
        <v>150</v>
      </c>
      <c r="AD3" s="38" t="s">
        <v>151</v>
      </c>
    </row>
    <row r="4" ht="16.5" spans="1:30">
      <c r="A4" s="4"/>
      <c r="B4" s="5"/>
      <c r="C4" s="20"/>
      <c r="D4" s="18" t="s">
        <v>152</v>
      </c>
      <c r="E4" s="18" t="s">
        <v>153</v>
      </c>
      <c r="F4" s="18" t="s">
        <v>154</v>
      </c>
      <c r="G4" s="19" t="s">
        <v>155</v>
      </c>
      <c r="H4" s="19" t="s">
        <v>156</v>
      </c>
      <c r="I4" s="19" t="s">
        <v>157</v>
      </c>
      <c r="J4" s="19" t="s">
        <v>158</v>
      </c>
      <c r="K4" s="19" t="s">
        <v>159</v>
      </c>
      <c r="L4" s="19" t="s">
        <v>160</v>
      </c>
      <c r="M4" s="19" t="s">
        <v>161</v>
      </c>
      <c r="N4" s="19" t="s">
        <v>162</v>
      </c>
      <c r="O4" s="19" t="s">
        <v>163</v>
      </c>
      <c r="P4" s="19" t="s">
        <v>164</v>
      </c>
      <c r="Q4" s="19" t="s">
        <v>165</v>
      </c>
      <c r="R4" s="19" t="s">
        <v>166</v>
      </c>
      <c r="S4" s="34" t="s">
        <v>167</v>
      </c>
      <c r="T4" s="34" t="s">
        <v>168</v>
      </c>
      <c r="U4" s="34" t="s">
        <v>169</v>
      </c>
      <c r="V4" s="35" t="s">
        <v>170</v>
      </c>
      <c r="W4" s="35" t="s">
        <v>171</v>
      </c>
      <c r="X4" s="35" t="s">
        <v>172</v>
      </c>
      <c r="Y4" s="35" t="s">
        <v>173</v>
      </c>
      <c r="Z4" s="35" t="s">
        <v>174</v>
      </c>
      <c r="AA4" s="37" t="s">
        <v>175</v>
      </c>
      <c r="AB4" s="39" t="s">
        <v>18</v>
      </c>
      <c r="AC4" s="39" t="s">
        <v>176</v>
      </c>
      <c r="AD4" s="39" t="s">
        <v>177</v>
      </c>
    </row>
    <row r="5" s="1" customFormat="1" ht="16.5" spans="2:30">
      <c r="B5" s="2"/>
      <c r="C5" s="3"/>
      <c r="D5" s="21">
        <v>8030</v>
      </c>
      <c r="E5" s="22">
        <v>46046</v>
      </c>
      <c r="F5" s="22">
        <v>3</v>
      </c>
      <c r="G5" s="22">
        <v>46632</v>
      </c>
      <c r="H5" s="22">
        <v>11824</v>
      </c>
      <c r="I5" s="22">
        <v>11824</v>
      </c>
      <c r="J5" s="22">
        <v>2776</v>
      </c>
      <c r="K5" s="22">
        <v>29888</v>
      </c>
      <c r="L5" s="22">
        <v>8094</v>
      </c>
      <c r="M5" s="22">
        <v>1500</v>
      </c>
      <c r="N5" s="22">
        <v>137</v>
      </c>
      <c r="O5" s="22">
        <v>973</v>
      </c>
      <c r="P5" s="22">
        <v>1334</v>
      </c>
      <c r="Q5" s="22">
        <v>3858</v>
      </c>
      <c r="R5" s="22">
        <v>3894</v>
      </c>
      <c r="S5" s="22">
        <v>14372</v>
      </c>
      <c r="T5" s="22">
        <v>5528</v>
      </c>
      <c r="U5" s="22">
        <v>184</v>
      </c>
      <c r="V5" s="22">
        <v>15519</v>
      </c>
      <c r="W5" s="22">
        <v>755</v>
      </c>
      <c r="X5" s="22">
        <v>4046</v>
      </c>
      <c r="Y5" s="22">
        <v>511</v>
      </c>
      <c r="Z5" s="22">
        <v>2341</v>
      </c>
      <c r="AA5" s="22">
        <v>45473</v>
      </c>
      <c r="AB5" s="22">
        <v>231</v>
      </c>
      <c r="AC5" s="22">
        <v>143</v>
      </c>
      <c r="AD5" s="22">
        <v>32</v>
      </c>
    </row>
    <row r="6" ht="16.5" spans="5:31">
      <c r="E6" s="22"/>
      <c r="F6" s="22"/>
      <c r="O6" s="21"/>
      <c r="P6" s="21"/>
      <c r="Q6" s="21"/>
      <c r="R6" s="21"/>
      <c r="S6" s="23"/>
      <c r="T6" s="23"/>
      <c r="U6" s="23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5:31"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/>
    </row>
    <row r="8" spans="5:39"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"/>
      <c r="AF8" s="24"/>
      <c r="AG8" s="24"/>
      <c r="AH8" s="24"/>
      <c r="AI8" s="24"/>
      <c r="AJ8" s="24"/>
      <c r="AK8" s="24"/>
      <c r="AL8" s="24"/>
      <c r="AM8" s="24"/>
    </row>
    <row r="9" spans="5:39"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/>
      <c r="AF9" s="24"/>
      <c r="AG9" s="24"/>
      <c r="AH9" s="24"/>
      <c r="AI9" s="24"/>
      <c r="AJ9" s="24"/>
      <c r="AK9" s="24"/>
      <c r="AL9" s="24"/>
      <c r="AM9" s="24"/>
    </row>
    <row r="10" spans="5:39"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3"/>
      <c r="AF10" s="24"/>
      <c r="AG10" s="24"/>
      <c r="AH10" s="24"/>
      <c r="AI10" s="24"/>
      <c r="AJ10" s="24"/>
      <c r="AK10" s="24"/>
      <c r="AL10" s="24"/>
      <c r="AM10" s="24"/>
    </row>
    <row r="11" spans="5:39"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>
        <v>15519</v>
      </c>
      <c r="W11" s="22">
        <v>755</v>
      </c>
      <c r="X11" s="22">
        <v>4046</v>
      </c>
      <c r="Y11" s="22">
        <v>511</v>
      </c>
      <c r="Z11" s="22">
        <v>2341</v>
      </c>
      <c r="AA11" s="22"/>
      <c r="AB11" s="22"/>
      <c r="AC11" s="22"/>
      <c r="AD11" s="22"/>
      <c r="AE11" s="23"/>
      <c r="AF11" s="24"/>
      <c r="AG11" s="24"/>
      <c r="AH11" s="24"/>
      <c r="AI11" s="24"/>
      <c r="AJ11" s="24"/>
      <c r="AK11" s="24"/>
      <c r="AL11" s="24"/>
      <c r="AM11" s="24"/>
    </row>
    <row r="12" spans="5:39"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/>
      <c r="AF12" s="24"/>
      <c r="AG12" s="24"/>
      <c r="AH12" s="24"/>
      <c r="AI12" s="24"/>
      <c r="AJ12" s="24"/>
      <c r="AK12" s="24"/>
      <c r="AL12" s="24"/>
      <c r="AM12" s="24"/>
    </row>
    <row r="13" spans="5:39"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/>
      <c r="AF13" s="24"/>
      <c r="AG13" s="24"/>
      <c r="AH13" s="24"/>
      <c r="AI13" s="24"/>
      <c r="AJ13" s="24"/>
      <c r="AK13" s="24"/>
      <c r="AL13" s="24"/>
      <c r="AM13" s="24"/>
    </row>
    <row r="14" spans="5:39"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4"/>
      <c r="AG14" s="24"/>
      <c r="AH14" s="24"/>
      <c r="AI14" s="24"/>
      <c r="AJ14" s="24"/>
      <c r="AK14" s="24"/>
      <c r="AL14" s="24"/>
      <c r="AM14" s="24"/>
    </row>
    <row r="15" spans="5:39"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4"/>
      <c r="AF15" s="24" t="str">
        <f>IFERROR(ROUND(Sheet1!Q22/Sheet1!H22*N15,0),"")</f>
        <v/>
      </c>
      <c r="AG15" s="24" t="str">
        <f>IFERROR(ROUND(Sheet1!Q22/Sheet1!H22*100,2),"")</f>
        <v/>
      </c>
      <c r="AH15" s="24"/>
      <c r="AI15" s="24" t="str">
        <f>IFERROR(ROUND(Sheet1!R22/Sheet1!H22*N15,0),"")</f>
        <v/>
      </c>
      <c r="AJ15" s="24" t="str">
        <f>IFERROR(ROUND(Sheet1!R22/Sheet1!H22*100,2),"")</f>
        <v/>
      </c>
      <c r="AK15" s="24"/>
      <c r="AL15" s="24" t="str">
        <f t="shared" ref="AL10:AL20" si="0">IFERROR(ROUND(AG15/AJ15,2),"")</f>
        <v/>
      </c>
      <c r="AM15" s="24" t="str">
        <f>IFERROR(ROUND(Sheet1!U22/Sheet1!S22*N15,0),"")</f>
        <v/>
      </c>
    </row>
    <row r="16" spans="5:39">
      <c r="E16" s="24" t="str">
        <f>IFERROR(ROUND(Sheet1!D23*Sheet1!F23/Sheet1!E23,2),"")</f>
        <v/>
      </c>
      <c r="F16" s="24" t="str">
        <f>IFERROR(ROUND(Sheet1!F23/Sheet1!E23*100,2),"")</f>
        <v/>
      </c>
      <c r="G16" s="24"/>
      <c r="H16" s="24" t="str">
        <f>IFERROR(ROUND(Sheet1!D23*Sheet1!J23/Sheet1!G23,0),"")</f>
        <v/>
      </c>
      <c r="I16" s="24" t="str">
        <f>IFERROR(ROUND(Sheet1!J23/Sheet1!G23*100,2),"")</f>
        <v/>
      </c>
      <c r="J16" s="24"/>
      <c r="K16" s="24" t="str">
        <f>IFERROR(ROUND(Sheet1!D23*Sheet1!K23/Sheet1!G23,0),"")</f>
        <v/>
      </c>
      <c r="L16" s="24" t="str">
        <f>IFERROR(ROUND(Sheet1!K23/Sheet1!G23*100,2),"")</f>
        <v/>
      </c>
      <c r="M16" s="24"/>
      <c r="N16" s="24" t="str">
        <f>IFERROR(ROUND(Sheet1!D23*Sheet1!I23/Sheet1!G23,0),"")</f>
        <v/>
      </c>
      <c r="O16" s="24" t="str">
        <f>IFERROR(ROUND(Sheet1!I23/Sheet1!G23*100,2),"")</f>
        <v/>
      </c>
      <c r="P16" s="24"/>
      <c r="Q16" s="24" t="str">
        <f>IFERROR(ROUND(Sheet1!L23/Sheet1!H23*N16,0),"")</f>
        <v/>
      </c>
      <c r="R16" s="24" t="str">
        <f>IFERROR(ROUND(Sheet1!L23/Sheet1!H23*100,2),"")</f>
        <v/>
      </c>
      <c r="S16" s="24"/>
      <c r="T16" s="24" t="str">
        <f>IFERROR(ROUND(Sheet1!M23/Sheet1!H23*N16,0),"")</f>
        <v/>
      </c>
      <c r="U16" s="24" t="str">
        <f>IFERROR(ROUND(Sheet1!M23/Sheet1!H23*100,2),"")</f>
        <v/>
      </c>
      <c r="V16" s="24"/>
      <c r="W16" s="24" t="str">
        <f>IFERROR(ROUND(Sheet1!O23/Sheet1!H23*N16,0),"")</f>
        <v/>
      </c>
      <c r="X16" s="24" t="str">
        <f>IFERROR(ROUND(Sheet1!O23/Sheet1!H23*100,2),"")</f>
        <v/>
      </c>
      <c r="Y16" s="24"/>
      <c r="Z16" s="24"/>
      <c r="AA16" s="24"/>
      <c r="AB16" s="24" t="str">
        <f>IFERROR(ROUND(Sheet1!P23/Sheet1!H23*100,2),"")</f>
        <v/>
      </c>
      <c r="AC16" s="24"/>
      <c r="AD16" s="24" t="str">
        <f>IFERROR(ROUND(Sheet1!N23/Sheet1!H23*100,2),"")</f>
        <v/>
      </c>
      <c r="AE16" s="24"/>
      <c r="AF16" s="24" t="str">
        <f>IFERROR(ROUND(Sheet1!Q23/Sheet1!H23*N16,0),"")</f>
        <v/>
      </c>
      <c r="AG16" s="24" t="str">
        <f>IFERROR(ROUND(Sheet1!Q23/Sheet1!H23*100,2),"")</f>
        <v/>
      </c>
      <c r="AH16" s="24"/>
      <c r="AI16" s="24" t="str">
        <f>IFERROR(ROUND(Sheet1!R23/Sheet1!H23*N16,0),"")</f>
        <v/>
      </c>
      <c r="AJ16" s="24" t="str">
        <f>IFERROR(ROUND(Sheet1!R23/Sheet1!H23*100,2),"")</f>
        <v/>
      </c>
      <c r="AK16" s="24"/>
      <c r="AL16" s="24" t="str">
        <f t="shared" si="0"/>
        <v/>
      </c>
      <c r="AM16" s="24" t="str">
        <f>IFERROR(ROUND(Sheet1!U23/Sheet1!S23*N16,0),"")</f>
        <v/>
      </c>
    </row>
    <row r="17" spans="5:39">
      <c r="E17" s="24" t="str">
        <f>IFERROR(ROUND(Sheet1!D24*Sheet1!F24/Sheet1!E24,2),"")</f>
        <v/>
      </c>
      <c r="F17" s="24" t="str">
        <f>IFERROR(ROUND(Sheet1!F24/Sheet1!E24*100,2),"")</f>
        <v/>
      </c>
      <c r="G17" s="24"/>
      <c r="H17" s="24" t="str">
        <f>IFERROR(ROUND(Sheet1!D24*Sheet1!J24/Sheet1!G24,0),"")</f>
        <v/>
      </c>
      <c r="I17" s="24" t="str">
        <f>IFERROR(ROUND(Sheet1!J24/Sheet1!G24*100,2),"")</f>
        <v/>
      </c>
      <c r="J17" s="24"/>
      <c r="K17" s="24" t="str">
        <f>IFERROR(ROUND(Sheet1!D24*Sheet1!K24/Sheet1!G24,0),"")</f>
        <v/>
      </c>
      <c r="L17" s="24" t="str">
        <f>IFERROR(ROUND(Sheet1!K24/Sheet1!G24*100,2),"")</f>
        <v/>
      </c>
      <c r="M17" s="24"/>
      <c r="N17" s="24" t="str">
        <f>IFERROR(ROUND(Sheet1!D24*Sheet1!I24/Sheet1!G24,0),"")</f>
        <v/>
      </c>
      <c r="O17" s="24" t="str">
        <f>IFERROR(ROUND(Sheet1!I24/Sheet1!G24*100,2),"")</f>
        <v/>
      </c>
      <c r="P17" s="24"/>
      <c r="Q17" s="24" t="str">
        <f>IFERROR(ROUND(Sheet1!L24/Sheet1!H24*N17,0),"")</f>
        <v/>
      </c>
      <c r="R17" s="24" t="str">
        <f>IFERROR(ROUND(Sheet1!L24/Sheet1!H24*100,2),"")</f>
        <v/>
      </c>
      <c r="S17" s="24"/>
      <c r="T17" s="24" t="str">
        <f>IFERROR(ROUND(Sheet1!M24/Sheet1!H24*N17,0),"")</f>
        <v/>
      </c>
      <c r="U17" s="24" t="str">
        <f>IFERROR(ROUND(Sheet1!M24/Sheet1!H24*100,2),"")</f>
        <v/>
      </c>
      <c r="V17" s="24"/>
      <c r="W17" s="24" t="str">
        <f>IFERROR(ROUND(Sheet1!O24/Sheet1!H24*N17,0),"")</f>
        <v/>
      </c>
      <c r="X17" s="24" t="str">
        <f>IFERROR(ROUND(Sheet1!O24/Sheet1!H24*100,2),"")</f>
        <v/>
      </c>
      <c r="Y17" s="24"/>
      <c r="Z17" s="24"/>
      <c r="AA17" s="24"/>
      <c r="AB17" s="24" t="str">
        <f>IFERROR(ROUND(Sheet1!P24/Sheet1!H24*100,2),"")</f>
        <v/>
      </c>
      <c r="AC17" s="24"/>
      <c r="AD17" s="24" t="str">
        <f>IFERROR(ROUND(Sheet1!N24/Sheet1!H24*100,2),"")</f>
        <v/>
      </c>
      <c r="AE17" s="24"/>
      <c r="AF17" s="24" t="str">
        <f>IFERROR(ROUND(Sheet1!Q24/Sheet1!H24*N17,0),"")</f>
        <v/>
      </c>
      <c r="AG17" s="24" t="str">
        <f>IFERROR(ROUND(Sheet1!Q24/Sheet1!H24*100,2),"")</f>
        <v/>
      </c>
      <c r="AH17" s="24"/>
      <c r="AI17" s="24" t="str">
        <f>IFERROR(ROUND(Sheet1!R24/Sheet1!H24*N17,0),"")</f>
        <v/>
      </c>
      <c r="AJ17" s="24" t="str">
        <f>IFERROR(ROUND(Sheet1!R24/Sheet1!H24*100,2),"")</f>
        <v/>
      </c>
      <c r="AK17" s="24"/>
      <c r="AL17" s="24" t="str">
        <f t="shared" si="0"/>
        <v/>
      </c>
      <c r="AM17" s="24" t="str">
        <f>IFERROR(ROUND(Sheet1!U24/Sheet1!S24*N17,0),"")</f>
        <v/>
      </c>
    </row>
    <row r="18" spans="5:39">
      <c r="E18" s="24" t="str">
        <f>IFERROR(ROUND(Sheet1!D25*Sheet1!F25/Sheet1!E25,2),"")</f>
        <v/>
      </c>
      <c r="F18" s="24" t="str">
        <f>IFERROR(ROUND(Sheet1!F25/Sheet1!E25*100,2),"")</f>
        <v/>
      </c>
      <c r="G18" s="24"/>
      <c r="H18" s="24" t="str">
        <f>IFERROR(ROUND(Sheet1!D25*Sheet1!J25/Sheet1!G25,0),"")</f>
        <v/>
      </c>
      <c r="I18" s="24" t="str">
        <f>IFERROR(ROUND(Sheet1!J25/Sheet1!G25*100,2),"")</f>
        <v/>
      </c>
      <c r="J18" s="24"/>
      <c r="K18" s="24" t="str">
        <f>IFERROR(ROUND(Sheet1!D25*Sheet1!K25/Sheet1!G25,0),"")</f>
        <v/>
      </c>
      <c r="L18" s="24" t="str">
        <f>IFERROR(ROUND(Sheet1!K25/Sheet1!G25*100,2),"")</f>
        <v/>
      </c>
      <c r="M18" s="24"/>
      <c r="N18" s="24" t="str">
        <f>IFERROR(ROUND(Sheet1!D25*Sheet1!I25/Sheet1!G25,0),"")</f>
        <v/>
      </c>
      <c r="O18" s="24" t="str">
        <f>IFERROR(ROUND(Sheet1!I25/Sheet1!G25*100,2),"")</f>
        <v/>
      </c>
      <c r="P18" s="24"/>
      <c r="Q18" s="24" t="str">
        <f>IFERROR(ROUND(Sheet1!L25/Sheet1!H25*N18,0),"")</f>
        <v/>
      </c>
      <c r="R18" s="24" t="str">
        <f>IFERROR(ROUND(Sheet1!L25/Sheet1!H25*100,2),"")</f>
        <v/>
      </c>
      <c r="S18" s="24"/>
      <c r="T18" s="24" t="str">
        <f>IFERROR(ROUND(Sheet1!M25/Sheet1!H25*N18,0),"")</f>
        <v/>
      </c>
      <c r="U18" s="24" t="str">
        <f>IFERROR(ROUND(Sheet1!M25/Sheet1!H25*100,2),"")</f>
        <v/>
      </c>
      <c r="V18" s="24"/>
      <c r="W18" s="24" t="str">
        <f>IFERROR(ROUND(Sheet1!O25/Sheet1!H25*N18,0),"")</f>
        <v/>
      </c>
      <c r="X18" s="24" t="str">
        <f>IFERROR(ROUND(Sheet1!O25/Sheet1!H25*100,2),"")</f>
        <v/>
      </c>
      <c r="Y18" s="24"/>
      <c r="Z18" s="24"/>
      <c r="AA18" s="24"/>
      <c r="AB18" s="24" t="str">
        <f>IFERROR(ROUND(Sheet1!P25/Sheet1!H25*100,2),"")</f>
        <v/>
      </c>
      <c r="AC18" s="24"/>
      <c r="AD18" s="24" t="str">
        <f>IFERROR(ROUND(Sheet1!N25/Sheet1!H25*100,2),"")</f>
        <v/>
      </c>
      <c r="AE18" s="24"/>
      <c r="AF18" s="24" t="str">
        <f>IFERROR(ROUND(Sheet1!Q25/Sheet1!H25*N18,0),"")</f>
        <v/>
      </c>
      <c r="AG18" s="24" t="str">
        <f>IFERROR(ROUND(Sheet1!Q25/Sheet1!H25*100,2),"")</f>
        <v/>
      </c>
      <c r="AH18" s="24"/>
      <c r="AI18" s="24" t="str">
        <f>IFERROR(ROUND(Sheet1!R25/Sheet1!H25*N18,0),"")</f>
        <v/>
      </c>
      <c r="AJ18" s="24" t="str">
        <f>IFERROR(ROUND(Sheet1!R25/Sheet1!H25*100,2),"")</f>
        <v/>
      </c>
      <c r="AK18" s="24"/>
      <c r="AL18" s="24" t="str">
        <f t="shared" si="0"/>
        <v/>
      </c>
      <c r="AM18" s="24" t="str">
        <f>IFERROR(ROUND(Sheet1!U25/Sheet1!S25*N18,0),"")</f>
        <v/>
      </c>
    </row>
    <row r="19" spans="5:39">
      <c r="E19" s="24" t="str">
        <f>IFERROR(ROUND(Sheet1!D26*Sheet1!F26/Sheet1!E26,2),"")</f>
        <v/>
      </c>
      <c r="F19" s="24" t="str">
        <f>IFERROR(ROUND(Sheet1!F26/Sheet1!E26*100,2),"")</f>
        <v/>
      </c>
      <c r="G19" s="24"/>
      <c r="H19" s="24" t="str">
        <f>IFERROR(ROUND(Sheet1!D26*Sheet1!J26/Sheet1!G26,0),"")</f>
        <v/>
      </c>
      <c r="I19" s="24" t="str">
        <f>IFERROR(ROUND(Sheet1!J26/Sheet1!G26*100,2),"")</f>
        <v/>
      </c>
      <c r="J19" s="24"/>
      <c r="K19" s="24" t="str">
        <f>IFERROR(ROUND(Sheet1!D26*Sheet1!K26/Sheet1!G26,0),"")</f>
        <v/>
      </c>
      <c r="L19" s="24" t="str">
        <f>IFERROR(ROUND(Sheet1!K26/Sheet1!G26*100,2),"")</f>
        <v/>
      </c>
      <c r="M19" s="24"/>
      <c r="N19" s="24" t="str">
        <f>IFERROR(ROUND(Sheet1!D26*Sheet1!I26/Sheet1!G26,0),"")</f>
        <v/>
      </c>
      <c r="O19" s="24" t="str">
        <f>IFERROR(ROUND(Sheet1!I26/Sheet1!G26*100,2),"")</f>
        <v/>
      </c>
      <c r="P19" s="24"/>
      <c r="Q19" s="24" t="str">
        <f>IFERROR(ROUND(Sheet1!L26/Sheet1!H26*N19,0),"")</f>
        <v/>
      </c>
      <c r="R19" s="24" t="str">
        <f>IFERROR(ROUND(Sheet1!L26/Sheet1!H26*100,2),"")</f>
        <v/>
      </c>
      <c r="S19" s="24"/>
      <c r="T19" s="24" t="str">
        <f>IFERROR(ROUND(Sheet1!M26/Sheet1!H26*N19,0),"")</f>
        <v/>
      </c>
      <c r="U19" s="24" t="str">
        <f>IFERROR(ROUND(Sheet1!M26/Sheet1!H26*100,2),"")</f>
        <v/>
      </c>
      <c r="V19" s="24"/>
      <c r="W19" s="24" t="str">
        <f>IFERROR(ROUND(Sheet1!O26/Sheet1!H26*N19,0),"")</f>
        <v/>
      </c>
      <c r="X19" s="24" t="str">
        <f>IFERROR(ROUND(Sheet1!O26/Sheet1!H26*100,2),"")</f>
        <v/>
      </c>
      <c r="Y19" s="24"/>
      <c r="Z19" s="24"/>
      <c r="AA19" s="24"/>
      <c r="AB19" s="24" t="str">
        <f>IFERROR(ROUND(Sheet1!P26/Sheet1!H26*100,2),"")</f>
        <v/>
      </c>
      <c r="AC19" s="24"/>
      <c r="AD19" s="24" t="str">
        <f>IFERROR(ROUND(Sheet1!N26/Sheet1!H26*100,2),"")</f>
        <v/>
      </c>
      <c r="AE19" s="24"/>
      <c r="AF19" s="24" t="str">
        <f>IFERROR(ROUND(Sheet1!Q26/Sheet1!H26*N19,0),"")</f>
        <v/>
      </c>
      <c r="AG19" s="24" t="str">
        <f>IFERROR(ROUND(Sheet1!Q26/Sheet1!H26*100,2),"")</f>
        <v/>
      </c>
      <c r="AH19" s="24"/>
      <c r="AI19" s="24" t="str">
        <f>IFERROR(ROUND(Sheet1!R26/Sheet1!H26*N19,0),"")</f>
        <v/>
      </c>
      <c r="AJ19" s="24" t="str">
        <f>IFERROR(ROUND(Sheet1!R26/Sheet1!H26*100,2),"")</f>
        <v/>
      </c>
      <c r="AK19" s="24"/>
      <c r="AL19" s="24" t="str">
        <f t="shared" si="0"/>
        <v/>
      </c>
      <c r="AM19" s="24" t="str">
        <f>IFERROR(ROUND(Sheet1!U26/Sheet1!S26*N19,0),"")</f>
        <v/>
      </c>
    </row>
    <row r="20" spans="5:39">
      <c r="E20" s="24" t="str">
        <f>IFERROR(ROUND(Sheet1!D27*Sheet1!F27/Sheet1!E27,2),"")</f>
        <v/>
      </c>
      <c r="F20" s="24" t="str">
        <f>IFERROR(ROUND(Sheet1!F27/Sheet1!E27*100,2),"")</f>
        <v/>
      </c>
      <c r="G20" s="24"/>
      <c r="H20" s="24" t="str">
        <f>IFERROR(ROUND(Sheet1!D27*Sheet1!J27/Sheet1!G27,0),"")</f>
        <v/>
      </c>
      <c r="I20" s="24" t="str">
        <f>IFERROR(ROUND(Sheet1!J27/Sheet1!G27*100,2),"")</f>
        <v/>
      </c>
      <c r="J20" s="24"/>
      <c r="K20" s="24" t="str">
        <f>IFERROR(ROUND(Sheet1!D27*Sheet1!K27/Sheet1!G27,0),"")</f>
        <v/>
      </c>
      <c r="L20" s="24" t="str">
        <f>IFERROR(ROUND(Sheet1!K27/Sheet1!G27*100,2),"")</f>
        <v/>
      </c>
      <c r="M20" s="24"/>
      <c r="N20" s="24" t="str">
        <f>IFERROR(ROUND(Sheet1!D27*Sheet1!I27/Sheet1!G27,0),"")</f>
        <v/>
      </c>
      <c r="O20" s="24" t="str">
        <f>IFERROR(ROUND(Sheet1!I27/Sheet1!G27*100,2),"")</f>
        <v/>
      </c>
      <c r="P20" s="24"/>
      <c r="Q20" s="24" t="str">
        <f>IFERROR(ROUND(Sheet1!L27/Sheet1!H27*N20,0),"")</f>
        <v/>
      </c>
      <c r="R20" s="24" t="str">
        <f>IFERROR(ROUND(Sheet1!L27/Sheet1!H27*100,2),"")</f>
        <v/>
      </c>
      <c r="S20" s="24"/>
      <c r="T20" s="24" t="str">
        <f>IFERROR(ROUND(Sheet1!M27/Sheet1!H27*N20,0),"")</f>
        <v/>
      </c>
      <c r="U20" s="24" t="str">
        <f>IFERROR(ROUND(Sheet1!M27/Sheet1!H27*100,2),"")</f>
        <v/>
      </c>
      <c r="V20" s="24"/>
      <c r="W20" s="24" t="str">
        <f>IFERROR(ROUND(Sheet1!O27/Sheet1!H27*N20,0),"")</f>
        <v/>
      </c>
      <c r="X20" s="24" t="str">
        <f>IFERROR(ROUND(Sheet1!O27/Sheet1!H27*100,2),"")</f>
        <v/>
      </c>
      <c r="Y20" s="24"/>
      <c r="Z20" s="24"/>
      <c r="AA20" s="24"/>
      <c r="AB20" s="24" t="str">
        <f>IFERROR(ROUND(Sheet1!P27/Sheet1!H27*100,2),"")</f>
        <v/>
      </c>
      <c r="AC20" s="24"/>
      <c r="AD20" s="24" t="str">
        <f>IFERROR(ROUND(Sheet1!N27/Sheet1!H27*100,2),"")</f>
        <v/>
      </c>
      <c r="AE20" s="24"/>
      <c r="AF20" s="24" t="str">
        <f>IFERROR(ROUND(Sheet1!Q27/Sheet1!H27*N20,0),"")</f>
        <v/>
      </c>
      <c r="AG20" s="24" t="str">
        <f>IFERROR(ROUND(Sheet1!Q27/Sheet1!H27*100,2),"")</f>
        <v/>
      </c>
      <c r="AH20" s="24"/>
      <c r="AI20" s="24" t="str">
        <f>IFERROR(ROUND(Sheet1!R27/Sheet1!H27*N20,0),"")</f>
        <v/>
      </c>
      <c r="AJ20" s="24" t="str">
        <f>IFERROR(ROUND(Sheet1!R27/Sheet1!H27*100,2),"")</f>
        <v/>
      </c>
      <c r="AK20" s="24"/>
      <c r="AL20" s="24" t="str">
        <f t="shared" si="0"/>
        <v/>
      </c>
      <c r="AM20" s="24" t="str">
        <f>IFERROR(ROUND(Sheet1!U27/Sheet1!S27*N20,0),"")</f>
        <v/>
      </c>
    </row>
  </sheetData>
  <mergeCells count="8">
    <mergeCell ref="A1:A4"/>
    <mergeCell ref="B1:B4"/>
    <mergeCell ref="C1:C4"/>
    <mergeCell ref="D1:F2"/>
    <mergeCell ref="S1:U2"/>
    <mergeCell ref="G1:R2"/>
    <mergeCell ref="V1:Z2"/>
    <mergeCell ref="AA1:AD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颠倒的彩虹</cp:lastModifiedBy>
  <dcterms:created xsi:type="dcterms:W3CDTF">2020-03-17T14:04:00Z</dcterms:created>
  <dcterms:modified xsi:type="dcterms:W3CDTF">2023-09-28T05:33:20Z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2052-12.1.0.15404</vt:lpwstr>
  </property>
  <property fmtid="{D5CDD505-2E9C-101B-9397-08002B2CF9AE}" pid="3" name="ICV">
    <vt:lpwstr>DB7D2E0C7B0D4463AED8A11DF38ADE8C_13</vt:lpwstr>
  </property>
</Properties>
</file>