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<sst xmlns="http://schemas.openxmlformats.org/spreadsheetml/2006/main" count="246" uniqueCount="178">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</sst>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4" borderId="4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tabSelected="1" workbookViewId="0">
      <selection activeCell="A5" sqref="$A5:$XFD5"/>
    </sheetView>
  </sheetViews>
  <sheetFormatPr defaultColWidth="10.8166666666667" defaultRowHeight="15.75"/>
  <cols>
    <col min="1" max="1" width="13.6333333333333" style="3" customWidth="1"/>
    <col min="2" max="2" width="19" style="2" customWidth="1"/>
    <col min="3" max="3" width="15.8166666666667" style="48" customWidth="1"/>
    <col min="4" max="25" width="15.8166666666667" style="1" customWidth="1"/>
    <col min="26" max="26" width="15.8166666666667" style="49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5" width="15.8166666666667" style="2" customWidth="1"/>
    <col min="46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2"/>
  </cols>
  <sheetData>
    <row r="1" ht="28.5" spans="1:63">
      <c r="A1" s="50" t="s">
        <v>0</v>
      </c>
      <c r="B1" s="51" t="s">
        <v>1</v>
      </c>
      <c r="C1" s="52">
        <v>1</v>
      </c>
      <c r="D1" s="52">
        <v>2</v>
      </c>
      <c r="E1" s="53">
        <v>3</v>
      </c>
      <c r="F1" s="54" t="s">
        <v>2</v>
      </c>
      <c r="G1" s="52">
        <v>4</v>
      </c>
      <c r="H1" s="52">
        <v>5</v>
      </c>
      <c r="I1" s="54" t="s">
        <v>3</v>
      </c>
      <c r="J1" s="53">
        <v>6</v>
      </c>
      <c r="K1" s="52">
        <v>7</v>
      </c>
      <c r="L1" s="54" t="s">
        <v>4</v>
      </c>
      <c r="M1" s="52">
        <v>8</v>
      </c>
      <c r="N1" s="52">
        <v>9</v>
      </c>
      <c r="O1" s="54" t="s">
        <v>5</v>
      </c>
      <c r="P1" s="53">
        <v>10</v>
      </c>
      <c r="Q1" s="52">
        <v>11</v>
      </c>
      <c r="R1" s="54" t="s">
        <v>6</v>
      </c>
      <c r="S1" s="52">
        <v>12</v>
      </c>
      <c r="T1" s="53">
        <v>13</v>
      </c>
      <c r="U1" s="54" t="s">
        <v>7</v>
      </c>
      <c r="V1" s="52">
        <v>14</v>
      </c>
      <c r="W1" s="52">
        <v>15</v>
      </c>
      <c r="X1" s="54" t="s">
        <v>8</v>
      </c>
      <c r="Y1" s="67">
        <v>14</v>
      </c>
      <c r="Z1" s="68">
        <v>16</v>
      </c>
      <c r="AA1" s="54" t="s">
        <v>9</v>
      </c>
      <c r="AB1" s="68">
        <v>17</v>
      </c>
      <c r="AC1" s="68">
        <v>17</v>
      </c>
      <c r="AD1" s="69" t="s">
        <v>10</v>
      </c>
      <c r="AE1" s="52">
        <v>18</v>
      </c>
      <c r="AF1" s="53">
        <v>19</v>
      </c>
      <c r="AG1" s="54" t="s">
        <v>11</v>
      </c>
      <c r="AH1" s="52">
        <v>20</v>
      </c>
      <c r="AI1" s="52">
        <v>21</v>
      </c>
      <c r="AJ1" s="54" t="s">
        <v>12</v>
      </c>
      <c r="AK1" s="52">
        <v>22</v>
      </c>
      <c r="AL1" s="53">
        <v>23</v>
      </c>
      <c r="AM1" s="52">
        <v>24</v>
      </c>
      <c r="AN1" s="52">
        <v>24</v>
      </c>
      <c r="AO1" s="52">
        <v>24</v>
      </c>
      <c r="AP1" s="54" t="s">
        <v>13</v>
      </c>
      <c r="AQ1" s="52">
        <v>25</v>
      </c>
      <c r="AR1" s="52">
        <v>26</v>
      </c>
      <c r="AS1" s="54" t="s">
        <v>14</v>
      </c>
      <c r="AT1" s="53">
        <v>27</v>
      </c>
      <c r="AU1" s="52">
        <v>28</v>
      </c>
      <c r="AV1" s="54" t="s">
        <v>15</v>
      </c>
      <c r="AW1" s="52">
        <v>29</v>
      </c>
      <c r="AX1" s="53">
        <v>30</v>
      </c>
      <c r="AY1" s="54" t="s">
        <v>16</v>
      </c>
      <c r="AZ1" s="52">
        <v>31</v>
      </c>
      <c r="BA1" s="52">
        <v>32</v>
      </c>
      <c r="BB1" s="54" t="s">
        <v>17</v>
      </c>
      <c r="BC1" s="52">
        <v>33</v>
      </c>
      <c r="BD1" s="53">
        <v>34</v>
      </c>
      <c r="BE1" s="54" t="s">
        <v>18</v>
      </c>
      <c r="BF1" s="52">
        <v>35</v>
      </c>
      <c r="BG1" s="52">
        <v>38</v>
      </c>
      <c r="BH1" s="54" t="s">
        <v>19</v>
      </c>
      <c r="BI1" s="53">
        <v>37</v>
      </c>
      <c r="BJ1" s="52">
        <v>36</v>
      </c>
      <c r="BK1" s="54" t="s">
        <v>20</v>
      </c>
    </row>
    <row r="2" ht="16.5" spans="1:63">
      <c r="A2" s="55"/>
      <c r="B2" s="56"/>
      <c r="C2" s="57" t="s">
        <v>21</v>
      </c>
      <c r="D2" s="57" t="s">
        <v>22</v>
      </c>
      <c r="E2" s="58" t="s">
        <v>23</v>
      </c>
      <c r="F2" s="54"/>
      <c r="G2" s="58" t="s">
        <v>24</v>
      </c>
      <c r="H2" s="58" t="s">
        <v>25</v>
      </c>
      <c r="I2" s="54"/>
      <c r="J2" s="58" t="s">
        <v>26</v>
      </c>
      <c r="K2" s="58" t="s">
        <v>27</v>
      </c>
      <c r="L2" s="54"/>
      <c r="M2" s="58" t="s">
        <v>28</v>
      </c>
      <c r="N2" s="58" t="s">
        <v>29</v>
      </c>
      <c r="O2" s="54"/>
      <c r="P2" s="58" t="s">
        <v>30</v>
      </c>
      <c r="Q2" s="58" t="s">
        <v>31</v>
      </c>
      <c r="R2" s="54"/>
      <c r="S2" s="58" t="s">
        <v>32</v>
      </c>
      <c r="T2" s="58" t="s">
        <v>33</v>
      </c>
      <c r="U2" s="54"/>
      <c r="V2" s="58" t="s">
        <v>34</v>
      </c>
      <c r="W2" s="58" t="s">
        <v>35</v>
      </c>
      <c r="X2" s="54"/>
      <c r="Y2" s="70"/>
      <c r="Z2" s="68" t="s">
        <v>36</v>
      </c>
      <c r="AA2" s="54"/>
      <c r="AB2" s="68" t="s">
        <v>37</v>
      </c>
      <c r="AC2" s="68" t="s">
        <v>37</v>
      </c>
      <c r="AD2" s="54"/>
      <c r="AE2" s="57" t="s">
        <v>38</v>
      </c>
      <c r="AF2" s="58" t="s">
        <v>39</v>
      </c>
      <c r="AG2" s="54"/>
      <c r="AH2" s="58" t="s">
        <v>40</v>
      </c>
      <c r="AI2" s="58" t="s">
        <v>41</v>
      </c>
      <c r="AJ2" s="54"/>
      <c r="AK2" s="58" t="s">
        <v>42</v>
      </c>
      <c r="AL2" s="58" t="s">
        <v>43</v>
      </c>
      <c r="AM2" s="58" t="s">
        <v>44</v>
      </c>
      <c r="AN2" s="58" t="s">
        <v>44</v>
      </c>
      <c r="AO2" s="58" t="s">
        <v>44</v>
      </c>
      <c r="AP2" s="54"/>
      <c r="AQ2" s="58" t="s">
        <v>45</v>
      </c>
      <c r="AR2" s="58" t="s">
        <v>46</v>
      </c>
      <c r="AS2" s="54"/>
      <c r="AT2" s="58" t="s">
        <v>47</v>
      </c>
      <c r="AU2" s="58" t="s">
        <v>48</v>
      </c>
      <c r="AV2" s="54"/>
      <c r="AW2" s="58" t="s">
        <v>49</v>
      </c>
      <c r="AX2" s="58" t="s">
        <v>50</v>
      </c>
      <c r="AY2" s="54"/>
      <c r="AZ2" s="58" t="s">
        <v>51</v>
      </c>
      <c r="BA2" s="58" t="s">
        <v>52</v>
      </c>
      <c r="BB2" s="54"/>
      <c r="BC2" s="58" t="s">
        <v>53</v>
      </c>
      <c r="BD2" s="58" t="s">
        <v>54</v>
      </c>
      <c r="BE2" s="54"/>
      <c r="BF2" s="58" t="s">
        <v>55</v>
      </c>
      <c r="BG2" s="73" t="s">
        <v>56</v>
      </c>
      <c r="BH2" s="54"/>
      <c r="BI2" s="58" t="s">
        <v>57</v>
      </c>
      <c r="BJ2" s="58" t="s">
        <v>58</v>
      </c>
      <c r="BK2" s="54"/>
    </row>
    <row r="3" ht="15" customHeight="1" spans="1:63">
      <c r="A3" s="55"/>
      <c r="B3" s="56"/>
      <c r="C3" s="59" t="s">
        <v>59</v>
      </c>
      <c r="D3" s="60" t="s">
        <v>2</v>
      </c>
      <c r="E3" s="61" t="s">
        <v>2</v>
      </c>
      <c r="F3" s="54" t="s">
        <v>60</v>
      </c>
      <c r="G3" s="61" t="s">
        <v>3</v>
      </c>
      <c r="H3" s="61" t="s">
        <v>3</v>
      </c>
      <c r="I3" s="54" t="s">
        <v>61</v>
      </c>
      <c r="J3" s="61" t="s">
        <v>4</v>
      </c>
      <c r="K3" s="61" t="s">
        <v>4</v>
      </c>
      <c r="L3" s="54" t="s">
        <v>62</v>
      </c>
      <c r="M3" s="61" t="s">
        <v>5</v>
      </c>
      <c r="N3" s="61" t="s">
        <v>5</v>
      </c>
      <c r="O3" s="54" t="s">
        <v>63</v>
      </c>
      <c r="P3" s="61" t="s">
        <v>6</v>
      </c>
      <c r="Q3" s="61" t="s">
        <v>6</v>
      </c>
      <c r="R3" s="54" t="s">
        <v>64</v>
      </c>
      <c r="S3" s="61" t="s">
        <v>7</v>
      </c>
      <c r="T3" s="61" t="s">
        <v>7</v>
      </c>
      <c r="U3" s="54" t="s">
        <v>65</v>
      </c>
      <c r="V3" s="61" t="s">
        <v>8</v>
      </c>
      <c r="W3" s="61" t="s">
        <v>8</v>
      </c>
      <c r="X3" s="54" t="s">
        <v>66</v>
      </c>
      <c r="Y3" s="71" t="s">
        <v>9</v>
      </c>
      <c r="Z3" s="69" t="s">
        <v>9</v>
      </c>
      <c r="AA3" s="54" t="s">
        <v>67</v>
      </c>
      <c r="AB3" s="69" t="s">
        <v>10</v>
      </c>
      <c r="AC3" s="69" t="s">
        <v>10</v>
      </c>
      <c r="AD3" s="54" t="s">
        <v>68</v>
      </c>
      <c r="AE3" s="60" t="s">
        <v>11</v>
      </c>
      <c r="AF3" s="61" t="s">
        <v>11</v>
      </c>
      <c r="AG3" s="54" t="s">
        <v>69</v>
      </c>
      <c r="AH3" s="61" t="s">
        <v>12</v>
      </c>
      <c r="AI3" s="61" t="s">
        <v>12</v>
      </c>
      <c r="AJ3" s="54" t="s">
        <v>70</v>
      </c>
      <c r="AK3" s="61" t="s">
        <v>71</v>
      </c>
      <c r="AL3" s="61" t="s">
        <v>13</v>
      </c>
      <c r="AM3" s="61" t="s">
        <v>13</v>
      </c>
      <c r="AN3" s="61" t="s">
        <v>13</v>
      </c>
      <c r="AO3" s="61" t="s">
        <v>13</v>
      </c>
      <c r="AP3" s="54" t="s">
        <v>72</v>
      </c>
      <c r="AQ3" s="61" t="s">
        <v>14</v>
      </c>
      <c r="AR3" s="61" t="s">
        <v>14</v>
      </c>
      <c r="AS3" s="54" t="s">
        <v>73</v>
      </c>
      <c r="AT3" s="61" t="s">
        <v>15</v>
      </c>
      <c r="AU3" s="61" t="s">
        <v>15</v>
      </c>
      <c r="AV3" s="54" t="s">
        <v>73</v>
      </c>
      <c r="AW3" s="61" t="s">
        <v>16</v>
      </c>
      <c r="AX3" s="61" t="s">
        <v>16</v>
      </c>
      <c r="AY3" s="54" t="s">
        <v>73</v>
      </c>
      <c r="AZ3" s="61" t="s">
        <v>17</v>
      </c>
      <c r="BA3" s="61" t="s">
        <v>17</v>
      </c>
      <c r="BB3" s="54" t="s">
        <v>73</v>
      </c>
      <c r="BC3" s="61" t="s">
        <v>18</v>
      </c>
      <c r="BD3" s="61" t="s">
        <v>18</v>
      </c>
      <c r="BE3" s="54" t="s">
        <v>74</v>
      </c>
      <c r="BF3" s="61" t="s">
        <v>75</v>
      </c>
      <c r="BG3" s="74" t="s">
        <v>75</v>
      </c>
      <c r="BH3" s="54" t="s">
        <v>76</v>
      </c>
      <c r="BI3" s="74" t="s">
        <v>19</v>
      </c>
      <c r="BJ3" s="61" t="s">
        <v>19</v>
      </c>
      <c r="BK3" s="54" t="s">
        <v>77</v>
      </c>
    </row>
    <row r="4" ht="17.25" spans="1:63">
      <c r="A4" s="62"/>
      <c r="B4" s="63"/>
      <c r="C4" s="64" t="s">
        <v>78</v>
      </c>
      <c r="D4" s="64" t="s">
        <v>79</v>
      </c>
      <c r="E4" s="64" t="s">
        <v>80</v>
      </c>
      <c r="F4" s="65" t="s">
        <v>73</v>
      </c>
      <c r="G4" s="66" t="s">
        <v>81</v>
      </c>
      <c r="H4" s="66" t="s">
        <v>82</v>
      </c>
      <c r="I4" s="65" t="s">
        <v>73</v>
      </c>
      <c r="J4" s="66" t="s">
        <v>83</v>
      </c>
      <c r="K4" s="66" t="s">
        <v>84</v>
      </c>
      <c r="L4" s="65" t="s">
        <v>73</v>
      </c>
      <c r="M4" s="66" t="s">
        <v>85</v>
      </c>
      <c r="N4" s="66" t="s">
        <v>86</v>
      </c>
      <c r="O4" s="65" t="s">
        <v>73</v>
      </c>
      <c r="P4" s="66" t="s">
        <v>87</v>
      </c>
      <c r="Q4" s="66" t="s">
        <v>88</v>
      </c>
      <c r="R4" s="65" t="s">
        <v>73</v>
      </c>
      <c r="S4" s="66" t="s">
        <v>89</v>
      </c>
      <c r="T4" s="66" t="s">
        <v>90</v>
      </c>
      <c r="U4" s="65" t="s">
        <v>73</v>
      </c>
      <c r="V4" s="66" t="s">
        <v>91</v>
      </c>
      <c r="W4" s="66" t="s">
        <v>92</v>
      </c>
      <c r="X4" s="65" t="s">
        <v>73</v>
      </c>
      <c r="Y4" s="72" t="s">
        <v>93</v>
      </c>
      <c r="Z4" s="68" t="s">
        <v>94</v>
      </c>
      <c r="AA4" s="65" t="s">
        <v>73</v>
      </c>
      <c r="AB4" s="68" t="s">
        <v>95</v>
      </c>
      <c r="AC4" s="68" t="s">
        <v>96</v>
      </c>
      <c r="AD4" s="65" t="s">
        <v>73</v>
      </c>
      <c r="AE4" s="64" t="s">
        <v>97</v>
      </c>
      <c r="AF4" s="66" t="s">
        <v>98</v>
      </c>
      <c r="AG4" s="65" t="s">
        <v>73</v>
      </c>
      <c r="AH4" s="66" t="s">
        <v>99</v>
      </c>
      <c r="AI4" s="66" t="s">
        <v>100</v>
      </c>
      <c r="AJ4" s="65" t="s">
        <v>73</v>
      </c>
      <c r="AK4" s="66" t="s">
        <v>71</v>
      </c>
      <c r="AL4" s="66" t="s">
        <v>101</v>
      </c>
      <c r="AM4" s="66" t="s">
        <v>102</v>
      </c>
      <c r="AN4" s="66" t="s">
        <v>103</v>
      </c>
      <c r="AO4" s="66" t="s">
        <v>104</v>
      </c>
      <c r="AP4" s="65" t="s">
        <v>73</v>
      </c>
      <c r="AQ4" s="66" t="s">
        <v>105</v>
      </c>
      <c r="AR4" s="66" t="s">
        <v>106</v>
      </c>
      <c r="AS4" s="65" t="s">
        <v>73</v>
      </c>
      <c r="AT4" s="66" t="s">
        <v>107</v>
      </c>
      <c r="AU4" s="66" t="s">
        <v>108</v>
      </c>
      <c r="AV4" s="65" t="s">
        <v>73</v>
      </c>
      <c r="AW4" s="66" t="s">
        <v>109</v>
      </c>
      <c r="AX4" s="66" t="s">
        <v>110</v>
      </c>
      <c r="AY4" s="65" t="s">
        <v>73</v>
      </c>
      <c r="AZ4" s="66" t="s">
        <v>111</v>
      </c>
      <c r="BA4" s="66" t="s">
        <v>112</v>
      </c>
      <c r="BB4" s="65" t="s">
        <v>73</v>
      </c>
      <c r="BC4" s="66" t="s">
        <v>113</v>
      </c>
      <c r="BD4" s="66" t="s">
        <v>114</v>
      </c>
      <c r="BE4" s="65" t="s">
        <v>73</v>
      </c>
      <c r="BF4" s="66" t="s">
        <v>115</v>
      </c>
      <c r="BG4" s="66" t="s">
        <v>116</v>
      </c>
      <c r="BH4" s="65" t="s">
        <v>73</v>
      </c>
      <c r="BI4" s="66" t="s">
        <v>117</v>
      </c>
      <c r="BJ4" s="66" t="s">
        <v>118</v>
      </c>
      <c r="BK4" s="65" t="s">
        <v>73</v>
      </c>
    </row>
    <row r="5" spans="1:63">
      <c r="A5" s="24" t="str">
        <f>IF(Sheet1!B5="","",Sheet1!B5)</f>
        <v/>
      </c>
      <c r="B5" s="24" t="str">
        <f>IF(Sheet1!C5="","",Sheet1!C5)</f>
        <v/>
      </c>
      <c r="C5" s="48">
        <f>IF(Sheet1!D5="","",Sheet1!D5)</f>
        <v>5730</v>
      </c>
      <c r="D5" s="1">
        <f>IFERROR(ROUND(Sheet1!D5*Sheet1!F5/Sheet1!E5,2),"")</f>
        <v>2.39</v>
      </c>
      <c r="E5" s="1">
        <f>IFERROR(ROUND(Sheet1!F5/Sheet1!E5*100,2),"")</f>
        <v>0.04</v>
      </c>
      <c r="F5" s="1">
        <f>D5/C5</f>
        <v>0.000417102966841187</v>
      </c>
      <c r="G5" s="1">
        <f>IFERROR(ROUND(Sheet1!D5*Sheet1!J5/Sheet1!G5,0),"")</f>
        <v>310</v>
      </c>
      <c r="H5" s="1">
        <f>IFERROR(ROUND(Sheet1!J5/Sheet1!G5*100,2),"")</f>
        <v>5.41</v>
      </c>
      <c r="I5" s="1">
        <f>G5/C5</f>
        <v>0.0541012216404887</v>
      </c>
      <c r="J5" s="1">
        <f>IFERROR(ROUND(Sheet1!D5*Sheet1!K5/Sheet1!G5,0),"")</f>
        <v>3135</v>
      </c>
      <c r="K5" s="1">
        <f>IFERROR(ROUND(Sheet1!K5/Sheet1!G5*100,2),"")</f>
        <v>54.71</v>
      </c>
      <c r="L5" s="1">
        <f>J5/C5</f>
        <v>0.547120418848168</v>
      </c>
      <c r="M5" s="1">
        <f>IFERROR(ROUND(Sheet1!D5*Sheet1!I5/Sheet1!G5,0),"")</f>
        <v>2023</v>
      </c>
      <c r="N5" s="1">
        <f>IFERROR(ROUND(Sheet1!I5/Sheet1!G5*100,2),"")</f>
        <v>35.31</v>
      </c>
      <c r="O5" s="1">
        <f>M5/C5</f>
        <v>0.35305410122164</v>
      </c>
      <c r="P5" s="1">
        <f>IFERROR(ROUND(Sheet1!L5/Sheet1!H5*M5,0),"")</f>
        <v>1002</v>
      </c>
      <c r="Q5" s="1">
        <f>IFERROR(ROUND(Sheet1!L5/Sheet1!H5*100,2),"")</f>
        <v>49.51</v>
      </c>
      <c r="R5" s="1">
        <f>P5/C5</f>
        <v>0.174869109947644</v>
      </c>
      <c r="S5" s="1">
        <f>IFERROR(ROUND(Sheet1!M5/Sheet1!H5*M5,0),"")</f>
        <v>187</v>
      </c>
      <c r="T5" s="1">
        <f>IFERROR(ROUND(Sheet1!M5/Sheet1!H5*100,2),"")</f>
        <v>9.24</v>
      </c>
      <c r="U5" s="1">
        <f>S5/C5</f>
        <v>0.0326352530541012</v>
      </c>
      <c r="V5" s="1">
        <f>IFERROR(ROUND(Sheet1!O5/Sheet1!H5*M5,0),"")</f>
        <v>574</v>
      </c>
      <c r="W5" s="1">
        <f>IFERROR(ROUND(Sheet1!O5/Sheet1!H5*100,2),"")</f>
        <v>28.38</v>
      </c>
      <c r="X5" s="1">
        <f>V5/C5</f>
        <v>0.100174520069808</v>
      </c>
      <c r="Y5" s="1">
        <f>IFERROR(ROUND(Sheet1!P5/Sheet1!H5*M5,0),"")</f>
        <v>49</v>
      </c>
      <c r="Z5" s="1">
        <f>IFERROR(ROUND(Sheet1!P5/Sheet1!H5*100,2),"")</f>
        <v>2.4</v>
      </c>
      <c r="AA5" s="1">
        <f>Y5/C5</f>
        <v>0.00855148342059337</v>
      </c>
      <c r="AB5" s="1">
        <f>IFERROR(ROUND(Sheet1!N5/Sheet1!H5*M5,0),"")</f>
        <v>43</v>
      </c>
      <c r="AC5" s="1">
        <f>IFERROR(ROUND(Sheet1!N5/Sheet1!H5*100,2),"")</f>
        <v>2.12</v>
      </c>
      <c r="AD5" s="1">
        <f>AB5/C5</f>
        <v>0.0075043630017452</v>
      </c>
      <c r="AE5" s="1">
        <f>IFERROR(ROUND(Sheet1!Q5/Sheet1!H5*M5,0),"")</f>
        <v>424</v>
      </c>
      <c r="AF5" s="1">
        <f>IFERROR(ROUND(Sheet1!Q5/Sheet1!H5*100,2),"")</f>
        <v>20.95</v>
      </c>
      <c r="AG5" s="1">
        <f>AE5/C5</f>
        <v>0.0739965095986038</v>
      </c>
      <c r="AH5" s="1">
        <f>IFERROR(ROUND(Sheet1!R5/Sheet1!H5*M5,0),"")</f>
        <v>513</v>
      </c>
      <c r="AI5" s="1">
        <f>IFERROR(ROUND(Sheet1!R5/Sheet1!H5*100,2),"")</f>
        <v>25.36</v>
      </c>
      <c r="AJ5" s="1">
        <f>AH5/C5</f>
        <v>0.0895287958115183</v>
      </c>
      <c r="AK5" s="1">
        <f>IFERROR(ROUND(AF5/AI5,2),"")</f>
        <v>0.83</v>
      </c>
      <c r="AL5" s="1">
        <f>IFERROR(ROUND(Sheet1!U5/Sheet1!T5*AE5,0),"")</f>
        <v>56</v>
      </c>
      <c r="AM5" s="1">
        <f>IFERROR(ROUND(Sheet1!U5/Sheet1!T5*100,2),"")</f>
        <v>13.2</v>
      </c>
      <c r="AN5" s="1">
        <f>IFERROR(ROUND(Sheet1!U5/Sheet1!S5*M5,0),"")</f>
        <v>30</v>
      </c>
      <c r="AO5" s="1">
        <f>IFERROR(ROUND(Sheet1!U5/Sheet1!S5*100,2),"")</f>
        <v>1.48</v>
      </c>
      <c r="AP5" s="1">
        <f>AN5/C5</f>
        <v>0.00523560209424084</v>
      </c>
      <c r="AQ5" s="1">
        <f>IFERROR(ROUND(Sheet1!W5/Sheet1!V5*M5,0),"")</f>
        <v>28</v>
      </c>
      <c r="AR5" s="1">
        <f>IFERROR(ROUND(Sheet1!W5/Sheet1!V5*100,2),"")</f>
        <v>1.37</v>
      </c>
      <c r="AS5" s="1">
        <f>AQ5/C5</f>
        <v>0.00488656195462478</v>
      </c>
      <c r="AT5" s="1">
        <f>IFERROR(ROUND(Sheet1!Y5/Sheet1!V5*M5,0),"")</f>
        <v>75</v>
      </c>
      <c r="AU5" s="1">
        <f>IFERROR(ROUND(Sheet1!Y5/Sheet1!V5*100,2),"")</f>
        <v>3.68</v>
      </c>
      <c r="AV5" s="1">
        <f>AT5/C5</f>
        <v>0.0130890052356021</v>
      </c>
      <c r="AW5" s="1">
        <f>IFERROR(ROUND(Sheet1!X5/Sheet1!V5*M5,0),"")</f>
        <v>360</v>
      </c>
      <c r="AX5" s="1">
        <f>IFERROR(ROUND(Sheet1!X5/Sheet1!V5*100,2),"")</f>
        <v>17.82</v>
      </c>
      <c r="AY5" s="1">
        <f>AW5/C5</f>
        <v>0.06282722513089</v>
      </c>
      <c r="AZ5" s="1">
        <f>IFERROR(ROUND(Sheet1!Z5/Sheet1!V5*M5,0),"")</f>
        <v>242</v>
      </c>
      <c r="BA5" s="1">
        <f>IFERROR(ROUND(Sheet1!Z5/Sheet1!V5*100,2),"")</f>
        <v>11.97</v>
      </c>
      <c r="BB5" s="1">
        <f>AZ5/C5</f>
        <v>0.0422338568935428</v>
      </c>
      <c r="BC5" s="1">
        <f>IFERROR(ROUND(Sheet1!AB5/Sheet1!AA5*Sheet1!D5,0),"")</f>
        <v>14</v>
      </c>
      <c r="BD5" s="1">
        <f>IFERROR(ROUND(Sheet1!AB5/Sheet1!AA5*100,2),"")</f>
        <v>0.25</v>
      </c>
      <c r="BE5" s="1">
        <f>BC5/C5</f>
        <v>0.00244328097731239</v>
      </c>
      <c r="BF5" s="1">
        <f>IFERROR(ROUND(Sheet1!AD5/Sheet1!AA5*Sheet1!D5,0),"")</f>
        <v>1</v>
      </c>
      <c r="BG5" s="1">
        <f>IFERROR(ROUND(Sheet1!AD5/Sheet1!AA5*100,2),"")</f>
        <v>0.02</v>
      </c>
      <c r="BH5" s="1">
        <f>BF5/C5</f>
        <v>0.000174520069808028</v>
      </c>
      <c r="BI5" s="1">
        <f>IFERROR(ROUND(Sheet1!AC5/Sheet1!AA5*Sheet1!D5,0),"")</f>
        <v>8</v>
      </c>
      <c r="BJ5" s="1">
        <f>IFERROR(ROUND(Sheet1!AC5/Sheet1!AA5*100,2),"")</f>
        <v>0.14</v>
      </c>
      <c r="BK5" s="1">
        <f>BI5/C5</f>
        <v>0.00139616055846422</v>
      </c>
    </row>
    <row r="6" spans="2:2">
      <c r="B6" s="3"/>
    </row>
    <row r="7" spans="2:2">
      <c r="B7" s="3"/>
    </row>
    <row r="8" spans="2:2">
      <c r="B8" s="3"/>
    </row>
    <row r="9" spans="2:2">
      <c r="B9" s="3"/>
    </row>
    <row r="10" spans="1:62">
      <c r="A10" s="24" t="str">
        <f>IF(Sheet1!B17="","",Sheet1!B17)</f>
        <v/>
      </c>
      <c r="B10" s="24" t="str">
        <f>IF(Sheet1!C17="","",Sheet1!C17)</f>
        <v/>
      </c>
      <c r="C10" s="48" t="str">
        <f>IF(Sheet1!E17="","",Sheet1!E17)</f>
        <v/>
      </c>
      <c r="D10" s="1" t="str">
        <f>IFERROR(ROUND(Sheet1!E17*Sheet1!G17/Sheet1!F17,2),"")</f>
        <v/>
      </c>
      <c r="E10" s="1" t="str">
        <f>IFERROR(ROUND(Sheet1!G17/Sheet1!F17*100,2),"")</f>
        <v/>
      </c>
      <c r="G10" s="1" t="str">
        <f>IFERROR(ROUND(Sheet1!E17*Sheet1!K17/Sheet1!H17,0),"")</f>
        <v/>
      </c>
      <c r="H10" s="1" t="str">
        <f>IFERROR(ROUND(Sheet1!K17/Sheet1!H17*100,2),"")</f>
        <v/>
      </c>
      <c r="J10" s="1" t="str">
        <f>IFERROR(ROUND(Sheet1!E17*Sheet1!L17/Sheet1!H17,0),"")</f>
        <v/>
      </c>
      <c r="K10" s="1" t="str">
        <f>IFERROR(ROUND(Sheet1!L17/Sheet1!H17*100,2),"")</f>
        <v/>
      </c>
      <c r="M10" s="1" t="str">
        <f>IFERROR(ROUND(Sheet1!E17*Sheet1!J17/Sheet1!H17,0),"")</f>
        <v/>
      </c>
      <c r="N10" s="1" t="str">
        <f>IFERROR(ROUND(Sheet1!J17/Sheet1!H17*100,2),"")</f>
        <v/>
      </c>
      <c r="P10" s="1" t="str">
        <f>IFERROR(ROUND(Sheet1!M17/Sheet1!I17*M10,0),"")</f>
        <v/>
      </c>
      <c r="Q10" s="1" t="str">
        <f>IFERROR(ROUND(Sheet1!M17/Sheet1!I17*100,2),"")</f>
        <v/>
      </c>
      <c r="S10" s="1" t="str">
        <f>IFERROR(ROUND(Sheet1!N17/Sheet1!I17*M10,0),"")</f>
        <v/>
      </c>
      <c r="T10" s="1" t="str">
        <f>IFERROR(ROUND(Sheet1!N17/Sheet1!I17*100,2),"")</f>
        <v/>
      </c>
      <c r="V10" s="1" t="str">
        <f>IFERROR(ROUND(Sheet1!P17/Sheet1!I17*M10,0),"")</f>
        <v/>
      </c>
      <c r="W10" s="1" t="str">
        <f>IFERROR(ROUND(Sheet1!P17/Sheet1!I17*100,2),"")</f>
        <v/>
      </c>
      <c r="AA10" s="1" t="str">
        <f>IFERROR(ROUND(Sheet1!Q17/Sheet1!I17*100,2),"")</f>
        <v/>
      </c>
      <c r="AC10" s="1" t="str">
        <f>IFERROR(ROUND(Sheet1!O17/Sheet1!I17*100,2),"")</f>
        <v/>
      </c>
      <c r="AE10" s="1" t="str">
        <f>IFERROR(ROUND(Sheet1!R17/Sheet1!I17*M10,0),"")</f>
        <v/>
      </c>
      <c r="AF10" s="1" t="str">
        <f>IFERROR(ROUND(Sheet1!R17/Sheet1!I17*100,2),"")</f>
        <v/>
      </c>
      <c r="AH10" s="1" t="str">
        <f>IFERROR(ROUND(Sheet1!S17/Sheet1!I17*M10,0),"")</f>
        <v/>
      </c>
      <c r="AI10" s="1" t="str">
        <f>IFERROR(ROUND(Sheet1!S17/Sheet1!I17*100,2),"")</f>
        <v/>
      </c>
      <c r="AK10" s="1" t="str">
        <f t="shared" ref="AK8:AK16" si="0">IFERROR(ROUND(AF10/AI10,2),"")</f>
        <v/>
      </c>
      <c r="AL10" s="1" t="str">
        <f>IFERROR(ROUND(Sheet1!V17/Sheet1!T17*M10,0),"")</f>
        <v/>
      </c>
      <c r="AM10" s="1" t="str">
        <f>IFERROR(ROUND(Sheet1!V17/Sheet1!U17*100,2),"")</f>
        <v/>
      </c>
      <c r="AQ10" s="1" t="str">
        <f>IFERROR(ROUND(Sheet1!X17/Sheet1!W17*M10,0),"")</f>
        <v/>
      </c>
      <c r="AR10" s="1" t="str">
        <f>IFERROR(ROUND(Sheet1!X17/Sheet1!W17*100,2),"")</f>
        <v/>
      </c>
      <c r="AT10" s="1" t="str">
        <f>IFERROR(ROUND(Sheet1!Z17/Sheet1!W17*M10,0),"")</f>
        <v/>
      </c>
      <c r="AU10" s="1" t="str">
        <f>IFERROR(ROUND(Sheet1!Z17/Sheet1!W17*100,2),"")</f>
        <v/>
      </c>
      <c r="AW10" s="1" t="str">
        <f>IFERROR(ROUND(Sheet1!Y17/Sheet1!W17*M10,0),"")</f>
        <v/>
      </c>
      <c r="AX10" s="1" t="str">
        <f>IFERROR(ROUND(Sheet1!Y17/Sheet1!W17*100,2),"")</f>
        <v/>
      </c>
      <c r="AZ10" s="1" t="str">
        <f>IFERROR(ROUND(Sheet1!AA17/Sheet1!W17*M10,0),"")</f>
        <v/>
      </c>
      <c r="BA10" s="1" t="str">
        <f>IFERROR(ROUND(Sheet1!AA17/Sheet1!W17*100,2),"")</f>
        <v/>
      </c>
      <c r="BC10" s="1" t="str">
        <f>IFERROR(ROUND(Sheet1!AC17/Sheet1!AB17*Sheet1!E17,0),"")</f>
        <v/>
      </c>
      <c r="BD10" s="1" t="str">
        <f>IFERROR(ROUND(Sheet1!AC17/Sheet1!AB17*100,2),"")</f>
        <v/>
      </c>
      <c r="BF10" s="1" t="str">
        <f>IFERROR(ROUND(Sheet1!AE17/Sheet1!AB17*Sheet1!E17,0),"")</f>
        <v/>
      </c>
      <c r="BG10" s="1" t="str">
        <f>IFERROR(ROUND(Sheet1!AD17/Sheet1!AB17*100,2),"")</f>
        <v/>
      </c>
      <c r="BJ10" s="1" t="str">
        <f>IFERROR(ROUND(Sheet1!AE17/Sheet1!AB17*100,2),"")</f>
        <v/>
      </c>
    </row>
    <row r="11" spans="1:62">
      <c r="A11" s="24" t="str">
        <f>IF(Sheet1!B18="","",Sheet1!B18)</f>
        <v/>
      </c>
      <c r="B11" s="24" t="str">
        <f>IF(Sheet1!C18="","",Sheet1!C18)</f>
        <v/>
      </c>
      <c r="C11" s="48" t="str">
        <f>IF(Sheet1!D18="","",Sheet1!D18)</f>
        <v/>
      </c>
      <c r="D11" s="1" t="str">
        <f>IFERROR(ROUND(Sheet1!D18*Sheet1!F18/Sheet1!E18,2),"")</f>
        <v/>
      </c>
      <c r="E11" s="1" t="str">
        <f>IFERROR(ROUND(Sheet1!F18/Sheet1!E18*100,2),"")</f>
        <v/>
      </c>
      <c r="G11" s="1" t="str">
        <f>IFERROR(ROUND(Sheet1!D18*Sheet1!J18/Sheet1!G18,0),"")</f>
        <v/>
      </c>
      <c r="H11" s="1" t="str">
        <f>IFERROR(ROUND(Sheet1!J18/Sheet1!G18*100,2),"")</f>
        <v/>
      </c>
      <c r="J11" s="1" t="str">
        <f>IFERROR(ROUND(Sheet1!D18*Sheet1!K18/Sheet1!G18,0),"")</f>
        <v/>
      </c>
      <c r="K11" s="1" t="str">
        <f>IFERROR(ROUND(Sheet1!K18/Sheet1!G18*100,2),"")</f>
        <v/>
      </c>
      <c r="M11" s="1" t="str">
        <f>IFERROR(ROUND(Sheet1!D18*Sheet1!I18/Sheet1!G18,0),"")</f>
        <v/>
      </c>
      <c r="N11" s="1" t="str">
        <f>IFERROR(ROUND(Sheet1!I18/Sheet1!G18*100,2),"")</f>
        <v/>
      </c>
      <c r="P11" s="1" t="str">
        <f>IFERROR(ROUND(Sheet1!L18/Sheet1!H18*M11,0),"")</f>
        <v/>
      </c>
      <c r="Q11" s="1" t="str">
        <f>IFERROR(ROUND(Sheet1!L18/Sheet1!H18*100,2),"")</f>
        <v/>
      </c>
      <c r="S11" s="1" t="str">
        <f>IFERROR(ROUND(Sheet1!M18/Sheet1!H18*M11,0),"")</f>
        <v/>
      </c>
      <c r="T11" s="1" t="str">
        <f>IFERROR(ROUND(Sheet1!M18/Sheet1!H18*100,2),"")</f>
        <v/>
      </c>
      <c r="V11" s="1" t="str">
        <f>IFERROR(ROUND(Sheet1!O18/Sheet1!H18*M11,0),"")</f>
        <v/>
      </c>
      <c r="W11" s="1" t="str">
        <f>IFERROR(ROUND(Sheet1!O18/Sheet1!H18*100,2),"")</f>
        <v/>
      </c>
      <c r="AA11" s="1" t="str">
        <f>IFERROR(ROUND(Sheet1!P18/Sheet1!H18*100,2),"")</f>
        <v/>
      </c>
      <c r="AC11" s="1" t="str">
        <f>IFERROR(ROUND(Sheet1!N18/Sheet1!H18*100,2),"")</f>
        <v/>
      </c>
      <c r="AE11" s="1" t="str">
        <f>IFERROR(ROUND(Sheet1!Q18/Sheet1!H18*M11,0),"")</f>
        <v/>
      </c>
      <c r="AF11" s="1" t="str">
        <f>IFERROR(ROUND(Sheet1!Q18/Sheet1!H18*100,2),"")</f>
        <v/>
      </c>
      <c r="AH11" s="1" t="str">
        <f>IFERROR(ROUND(Sheet1!R18/Sheet1!H18*M11,0),"")</f>
        <v/>
      </c>
      <c r="AI11" s="1" t="str">
        <f>IFERROR(ROUND(Sheet1!R18/Sheet1!H18*100,2),"")</f>
        <v/>
      </c>
      <c r="AK11" s="1" t="str">
        <f t="shared" si="0"/>
        <v/>
      </c>
      <c r="AL11" s="1" t="str">
        <f>IFERROR(ROUND(Sheet1!U18/Sheet1!S18*M11,0),"")</f>
        <v/>
      </c>
      <c r="AM11" s="1" t="str">
        <f>IFERROR(ROUND(Sheet1!U18/Sheet1!T18*100,2),"")</f>
        <v/>
      </c>
      <c r="AQ11" s="1" t="str">
        <f>IFERROR(ROUND(Sheet1!W18/Sheet1!V18*M11,0),"")</f>
        <v/>
      </c>
      <c r="AR11" s="1" t="str">
        <f>IFERROR(ROUND(Sheet1!W18/Sheet1!V18*100,2),"")</f>
        <v/>
      </c>
      <c r="AT11" s="1" t="str">
        <f>IFERROR(ROUND(Sheet1!Y18/Sheet1!V18*M11,0),"")</f>
        <v/>
      </c>
      <c r="AU11" s="1" t="str">
        <f>IFERROR(ROUND(Sheet1!Y18/Sheet1!V18*100,2),"")</f>
        <v/>
      </c>
      <c r="AW11" s="1" t="str">
        <f>IFERROR(ROUND(Sheet1!X18/Sheet1!V18*M11,0),"")</f>
        <v/>
      </c>
      <c r="AX11" s="1" t="str">
        <f>IFERROR(ROUND(Sheet1!X18/Sheet1!V18*100,2),"")</f>
        <v/>
      </c>
      <c r="AZ11" s="1" t="str">
        <f>IFERROR(ROUND(Sheet1!Z18/Sheet1!V18*M11,0),"")</f>
        <v/>
      </c>
      <c r="BA11" s="1" t="str">
        <f>IFERROR(ROUND(Sheet1!Z18/Sheet1!V18*100,2),"")</f>
        <v/>
      </c>
      <c r="BC11" s="1" t="str">
        <f>IFERROR(ROUND(Sheet1!AB18/Sheet1!AA18*Sheet1!D18,0),"")</f>
        <v/>
      </c>
      <c r="BD11" s="1" t="str">
        <f>IFERROR(ROUND(Sheet1!AB18/Sheet1!AA18*100,2),"")</f>
        <v/>
      </c>
      <c r="BF11" s="1" t="str">
        <f>IFERROR(ROUND(Sheet1!AD18/Sheet1!AA18*Sheet1!D18,0),"")</f>
        <v/>
      </c>
      <c r="BG11" s="1" t="str">
        <f>IFERROR(ROUND(Sheet1!AC18/Sheet1!AA18*100,2),"")</f>
        <v/>
      </c>
      <c r="BJ11" s="1" t="str">
        <f>IFERROR(ROUND(Sheet1!AD18/Sheet1!AA18*100,2),"")</f>
        <v/>
      </c>
    </row>
    <row r="12" spans="1:62">
      <c r="A12" s="24" t="str">
        <f>IF(Sheet1!B19="","",Sheet1!B19)</f>
        <v/>
      </c>
      <c r="B12" s="24" t="str">
        <f>IF(Sheet1!C19="","",Sheet1!C19)</f>
        <v/>
      </c>
      <c r="C12" s="48" t="str">
        <f>IF(Sheet1!D19="","",Sheet1!D19)</f>
        <v/>
      </c>
      <c r="D12" s="1" t="str">
        <f>IFERROR(ROUND(Sheet1!D19*Sheet1!F19/Sheet1!E19,2),"")</f>
        <v/>
      </c>
      <c r="E12" s="1" t="str">
        <f>IFERROR(ROUND(Sheet1!F19/Sheet1!E19*100,2),"")</f>
        <v/>
      </c>
      <c r="G12" s="1" t="str">
        <f>IFERROR(ROUND(Sheet1!D19*Sheet1!J19/Sheet1!G19,0),"")</f>
        <v/>
      </c>
      <c r="H12" s="1" t="str">
        <f>IFERROR(ROUND(Sheet1!J19/Sheet1!G19*100,2),"")</f>
        <v/>
      </c>
      <c r="J12" s="1" t="str">
        <f>IFERROR(ROUND(Sheet1!D19*Sheet1!K19/Sheet1!G19,0),"")</f>
        <v/>
      </c>
      <c r="K12" s="1" t="str">
        <f>IFERROR(ROUND(Sheet1!K19/Sheet1!G19*100,2),"")</f>
        <v/>
      </c>
      <c r="M12" s="1" t="str">
        <f>IFERROR(ROUND(Sheet1!D19*Sheet1!I19/Sheet1!G19,0),"")</f>
        <v/>
      </c>
      <c r="N12" s="1" t="str">
        <f>IFERROR(ROUND(Sheet1!I19/Sheet1!G19*100,2),"")</f>
        <v/>
      </c>
      <c r="P12" s="1" t="str">
        <f>IFERROR(ROUND(Sheet1!L19/Sheet1!H19*M12,0),"")</f>
        <v/>
      </c>
      <c r="Q12" s="1" t="str">
        <f>IFERROR(ROUND(Sheet1!L19/Sheet1!H19*100,2),"")</f>
        <v/>
      </c>
      <c r="S12" s="1" t="str">
        <f>IFERROR(ROUND(Sheet1!M19/Sheet1!H19*M12,0),"")</f>
        <v/>
      </c>
      <c r="T12" s="1" t="str">
        <f>IFERROR(ROUND(Sheet1!M19/Sheet1!H19*100,2),"")</f>
        <v/>
      </c>
      <c r="V12" s="1" t="str">
        <f>IFERROR(ROUND(Sheet1!O19/Sheet1!H19*M12,0),"")</f>
        <v/>
      </c>
      <c r="W12" s="1" t="str">
        <f>IFERROR(ROUND(Sheet1!O19/Sheet1!H19*100,2),"")</f>
        <v/>
      </c>
      <c r="AA12" s="1" t="str">
        <f>IFERROR(ROUND(Sheet1!P19/Sheet1!H19*100,2),"")</f>
        <v/>
      </c>
      <c r="AC12" s="1" t="str">
        <f>IFERROR(ROUND(Sheet1!N19/Sheet1!H19*100,2),"")</f>
        <v/>
      </c>
      <c r="AE12" s="1" t="str">
        <f>IFERROR(ROUND(Sheet1!Q19/Sheet1!H19*M12,0),"")</f>
        <v/>
      </c>
      <c r="AF12" s="1" t="str">
        <f>IFERROR(ROUND(Sheet1!Q19/Sheet1!H19*100,2),"")</f>
        <v/>
      </c>
      <c r="AH12" s="1" t="str">
        <f>IFERROR(ROUND(Sheet1!R19/Sheet1!H19*M12,0),"")</f>
        <v/>
      </c>
      <c r="AI12" s="1" t="str">
        <f>IFERROR(ROUND(Sheet1!R19/Sheet1!H19*100,2),"")</f>
        <v/>
      </c>
      <c r="AK12" s="1" t="str">
        <f t="shared" si="0"/>
        <v/>
      </c>
      <c r="AL12" s="1" t="str">
        <f>IFERROR(ROUND(Sheet1!U19/Sheet1!S19*M12,0),"")</f>
        <v/>
      </c>
      <c r="AM12" s="1" t="str">
        <f>IFERROR(ROUND(Sheet1!U19/Sheet1!T19*100,2),"")</f>
        <v/>
      </c>
      <c r="AQ12" s="1" t="str">
        <f>IFERROR(ROUND(Sheet1!W19/Sheet1!V19*M12,0),"")</f>
        <v/>
      </c>
      <c r="AR12" s="1" t="str">
        <f>IFERROR(ROUND(Sheet1!W19/Sheet1!V19*100,2),"")</f>
        <v/>
      </c>
      <c r="AT12" s="1" t="str">
        <f>IFERROR(ROUND(Sheet1!Y19/Sheet1!V19*M12,0),"")</f>
        <v/>
      </c>
      <c r="AU12" s="1" t="str">
        <f>IFERROR(ROUND(Sheet1!Y19/Sheet1!V19*100,2),"")</f>
        <v/>
      </c>
      <c r="AW12" s="1" t="str">
        <f>IFERROR(ROUND(Sheet1!X19/Sheet1!V19*M12,0),"")</f>
        <v/>
      </c>
      <c r="AX12" s="1" t="str">
        <f>IFERROR(ROUND(Sheet1!X19/Sheet1!V19*100,2),"")</f>
        <v/>
      </c>
      <c r="AZ12" s="1" t="str">
        <f>IFERROR(ROUND(Sheet1!Z19/Sheet1!V19*M12,0),"")</f>
        <v/>
      </c>
      <c r="BA12" s="1" t="str">
        <f>IFERROR(ROUND(Sheet1!Z19/Sheet1!V19*100,2),"")</f>
        <v/>
      </c>
      <c r="BC12" s="1" t="str">
        <f>IFERROR(ROUND(Sheet1!AB19/Sheet1!AA19*Sheet1!D19,0),"")</f>
        <v/>
      </c>
      <c r="BD12" s="1" t="str">
        <f>IFERROR(ROUND(Sheet1!AB19/Sheet1!AA19*100,2),"")</f>
        <v/>
      </c>
      <c r="BF12" s="1" t="str">
        <f>IFERROR(ROUND(Sheet1!AD19/Sheet1!AA19*Sheet1!D19,0),"")</f>
        <v/>
      </c>
      <c r="BG12" s="1" t="str">
        <f>IFERROR(ROUND(Sheet1!AC19/Sheet1!AA19*100,2),"")</f>
        <v/>
      </c>
      <c r="BJ12" s="1" t="str">
        <f>IFERROR(ROUND(Sheet1!AD19/Sheet1!AA19*100,2),"")</f>
        <v/>
      </c>
    </row>
    <row r="13" spans="1:62">
      <c r="A13" s="24" t="str">
        <f>IF(Sheet1!B20="","",Sheet1!B20)</f>
        <v/>
      </c>
      <c r="B13" s="24" t="str">
        <f>IF(Sheet1!C20="","",Sheet1!C20)</f>
        <v/>
      </c>
      <c r="C13" s="48" t="str">
        <f>IF(Sheet1!D20="","",Sheet1!D20)</f>
        <v/>
      </c>
      <c r="D13" s="1" t="str">
        <f>IFERROR(ROUND(Sheet1!D20*Sheet1!F20/Sheet1!E20,2),"")</f>
        <v/>
      </c>
      <c r="E13" s="1" t="str">
        <f>IFERROR(ROUND(Sheet1!F20/Sheet1!E20*100,2),"")</f>
        <v/>
      </c>
      <c r="G13" s="1" t="str">
        <f>IFERROR(ROUND(Sheet1!D20*Sheet1!J20/Sheet1!G20,0),"")</f>
        <v/>
      </c>
      <c r="H13" s="1" t="str">
        <f>IFERROR(ROUND(Sheet1!J20/Sheet1!G20*100,2),"")</f>
        <v/>
      </c>
      <c r="J13" s="1" t="str">
        <f>IFERROR(ROUND(Sheet1!D20*Sheet1!K20/Sheet1!G20,0),"")</f>
        <v/>
      </c>
      <c r="K13" s="1" t="str">
        <f>IFERROR(ROUND(Sheet1!K20/Sheet1!G20*100,2),"")</f>
        <v/>
      </c>
      <c r="M13" s="1" t="str">
        <f>IFERROR(ROUND(Sheet1!D20*Sheet1!I20/Sheet1!G20,0),"")</f>
        <v/>
      </c>
      <c r="N13" s="1" t="str">
        <f>IFERROR(ROUND(Sheet1!I20/Sheet1!G20*100,2),"")</f>
        <v/>
      </c>
      <c r="P13" s="1" t="str">
        <f>IFERROR(ROUND(Sheet1!L20/Sheet1!H20*M13,0),"")</f>
        <v/>
      </c>
      <c r="Q13" s="1" t="str">
        <f>IFERROR(ROUND(Sheet1!L20/Sheet1!H20*100,2),"")</f>
        <v/>
      </c>
      <c r="S13" s="1" t="str">
        <f>IFERROR(ROUND(Sheet1!M20/Sheet1!H20*M13,0),"")</f>
        <v/>
      </c>
      <c r="T13" s="1" t="str">
        <f>IFERROR(ROUND(Sheet1!M20/Sheet1!H20*100,2),"")</f>
        <v/>
      </c>
      <c r="V13" s="1" t="str">
        <f>IFERROR(ROUND(Sheet1!O20/Sheet1!H20*M13,0),"")</f>
        <v/>
      </c>
      <c r="W13" s="1" t="str">
        <f>IFERROR(ROUND(Sheet1!O20/Sheet1!H20*100,2),"")</f>
        <v/>
      </c>
      <c r="AA13" s="1" t="str">
        <f>IFERROR(ROUND(Sheet1!P20/Sheet1!H20*100,2),"")</f>
        <v/>
      </c>
      <c r="AC13" s="1" t="str">
        <f>IFERROR(ROUND(Sheet1!N20/Sheet1!H20*100,2),"")</f>
        <v/>
      </c>
      <c r="AE13" s="1" t="str">
        <f>IFERROR(ROUND(Sheet1!Q20/Sheet1!H20*M13,0),"")</f>
        <v/>
      </c>
      <c r="AF13" s="1" t="str">
        <f>IFERROR(ROUND(Sheet1!Q20/Sheet1!H20*100,2),"")</f>
        <v/>
      </c>
      <c r="AH13" s="1" t="str">
        <f>IFERROR(ROUND(Sheet1!R20/Sheet1!H20*M13,0),"")</f>
        <v/>
      </c>
      <c r="AI13" s="1" t="str">
        <f>IFERROR(ROUND(Sheet1!R20/Sheet1!H20*100,2),"")</f>
        <v/>
      </c>
      <c r="AK13" s="1" t="str">
        <f t="shared" si="0"/>
        <v/>
      </c>
      <c r="AL13" s="1" t="str">
        <f>IFERROR(ROUND(Sheet1!U20/Sheet1!S20*M13,0),"")</f>
        <v/>
      </c>
      <c r="AM13" s="1" t="str">
        <f>IFERROR(ROUND(Sheet1!U20/Sheet1!T20*100,2),"")</f>
        <v/>
      </c>
      <c r="AQ13" s="1" t="str">
        <f>IFERROR(ROUND(Sheet1!W20/Sheet1!V20*M13,0),"")</f>
        <v/>
      </c>
      <c r="AR13" s="1" t="str">
        <f>IFERROR(ROUND(Sheet1!W20/Sheet1!V20*100,2),"")</f>
        <v/>
      </c>
      <c r="AT13" s="1" t="str">
        <f>IFERROR(ROUND(Sheet1!Y20/Sheet1!V20*M13,0),"")</f>
        <v/>
      </c>
      <c r="AU13" s="1" t="str">
        <f>IFERROR(ROUND(Sheet1!Y20/Sheet1!V20*100,2),"")</f>
        <v/>
      </c>
      <c r="AW13" s="1" t="str">
        <f>IFERROR(ROUND(Sheet1!X20/Sheet1!V20*M13,0),"")</f>
        <v/>
      </c>
      <c r="AX13" s="1" t="str">
        <f>IFERROR(ROUND(Sheet1!X20/Sheet1!V20*100,2),"")</f>
        <v/>
      </c>
      <c r="AZ13" s="1" t="str">
        <f>IFERROR(ROUND(Sheet1!Z20/Sheet1!V20*M13,0),"")</f>
        <v/>
      </c>
      <c r="BA13" s="1" t="str">
        <f>IFERROR(ROUND(Sheet1!Z20/Sheet1!V20*100,2),"")</f>
        <v/>
      </c>
      <c r="BC13" s="1" t="str">
        <f>IFERROR(ROUND(Sheet1!AB20/Sheet1!AA20*Sheet1!D20,0),"")</f>
        <v/>
      </c>
      <c r="BD13" s="1" t="str">
        <f>IFERROR(ROUND(Sheet1!AB20/Sheet1!AA20*100,2),"")</f>
        <v/>
      </c>
      <c r="BF13" s="1" t="str">
        <f>IFERROR(ROUND(Sheet1!AD20/Sheet1!AA20*Sheet1!D20,0),"")</f>
        <v/>
      </c>
      <c r="BG13" s="1" t="str">
        <f>IFERROR(ROUND(Sheet1!AC20/Sheet1!AA20*100,2),"")</f>
        <v/>
      </c>
      <c r="BI13" s="1" t="str">
        <f>IFERROR(ROUND(Sheet1!AC20/Sheet1!AA20*Sheet1!D20,0),"")</f>
        <v/>
      </c>
      <c r="BJ13" s="1" t="str">
        <f>IFERROR(ROUND(Sheet1!AD20/Sheet1!AA20*100,2),"")</f>
        <v/>
      </c>
    </row>
    <row r="14" spans="1:62">
      <c r="A14" s="24" t="str">
        <f>IF(Sheet1!B21="","",Sheet1!B21)</f>
        <v/>
      </c>
      <c r="B14" s="24" t="str">
        <f>IF(Sheet1!C21="","",Sheet1!C21)</f>
        <v/>
      </c>
      <c r="C14" s="48" t="str">
        <f>IF(Sheet1!D21="","",Sheet1!D21)</f>
        <v/>
      </c>
      <c r="D14" s="1" t="str">
        <f>IFERROR(ROUND(Sheet1!D21*Sheet1!F21/Sheet1!E21,2),"")</f>
        <v/>
      </c>
      <c r="E14" s="1" t="str">
        <f>IFERROR(ROUND(Sheet1!F21/Sheet1!E21*100,2),"")</f>
        <v/>
      </c>
      <c r="G14" s="1" t="str">
        <f>IFERROR(ROUND(Sheet1!D21*Sheet1!J21/Sheet1!G21,0),"")</f>
        <v/>
      </c>
      <c r="H14" s="1" t="str">
        <f>IFERROR(ROUND(Sheet1!J21/Sheet1!G21*100,2),"")</f>
        <v/>
      </c>
      <c r="J14" s="1" t="str">
        <f>IFERROR(ROUND(Sheet1!D21*Sheet1!K21/Sheet1!G21,0),"")</f>
        <v/>
      </c>
      <c r="K14" s="1" t="str">
        <f>IFERROR(ROUND(Sheet1!K21/Sheet1!G21*100,2),"")</f>
        <v/>
      </c>
      <c r="M14" s="1" t="str">
        <f>IFERROR(ROUND(Sheet1!D21*Sheet1!I21/Sheet1!G21,0),"")</f>
        <v/>
      </c>
      <c r="N14" s="1" t="str">
        <f>IFERROR(ROUND(Sheet1!I21/Sheet1!G21*100,2),"")</f>
        <v/>
      </c>
      <c r="P14" s="1" t="str">
        <f>IFERROR(ROUND(Sheet1!L21/Sheet1!H21*M14,0),"")</f>
        <v/>
      </c>
      <c r="Q14" s="1" t="str">
        <f>IFERROR(ROUND(Sheet1!L21/Sheet1!H21*100,2),"")</f>
        <v/>
      </c>
      <c r="S14" s="1" t="str">
        <f>IFERROR(ROUND(Sheet1!M21/Sheet1!H21*M14,0),"")</f>
        <v/>
      </c>
      <c r="T14" s="1" t="str">
        <f>IFERROR(ROUND(Sheet1!M21/Sheet1!H21*100,2),"")</f>
        <v/>
      </c>
      <c r="V14" s="1" t="str">
        <f>IFERROR(ROUND(Sheet1!O21/Sheet1!H21*M14,0),"")</f>
        <v/>
      </c>
      <c r="W14" s="1" t="str">
        <f>IFERROR(ROUND(Sheet1!O21/Sheet1!H21*100,2),"")</f>
        <v/>
      </c>
      <c r="AA14" s="1" t="str">
        <f>IFERROR(ROUND(Sheet1!P21/Sheet1!H21*100,2),"")</f>
        <v/>
      </c>
      <c r="AC14" s="1" t="str">
        <f>IFERROR(ROUND(Sheet1!N21/Sheet1!H21*100,2),"")</f>
        <v/>
      </c>
      <c r="AE14" s="1" t="str">
        <f>IFERROR(ROUND(Sheet1!Q21/Sheet1!H21*M14,0),"")</f>
        <v/>
      </c>
      <c r="AF14" s="1" t="str">
        <f>IFERROR(ROUND(Sheet1!Q21/Sheet1!H21*100,2),"")</f>
        <v/>
      </c>
      <c r="AH14" s="1" t="str">
        <f>IFERROR(ROUND(Sheet1!R21/Sheet1!H21*M14,0),"")</f>
        <v/>
      </c>
      <c r="AI14" s="1" t="str">
        <f>IFERROR(ROUND(Sheet1!R21/Sheet1!H21*100,2),"")</f>
        <v/>
      </c>
      <c r="AK14" s="1" t="str">
        <f t="shared" si="0"/>
        <v/>
      </c>
      <c r="AL14" s="1" t="str">
        <f>IFERROR(ROUND(Sheet1!U21/Sheet1!S21*M14,0),"")</f>
        <v/>
      </c>
      <c r="AM14" s="1" t="str">
        <f>IFERROR(ROUND(Sheet1!U21/Sheet1!T21*100,2),"")</f>
        <v/>
      </c>
      <c r="AQ14" s="1" t="str">
        <f>IFERROR(ROUND(Sheet1!W21/Sheet1!V21*M14,0),"")</f>
        <v/>
      </c>
      <c r="AR14" s="1" t="str">
        <f>IFERROR(ROUND(Sheet1!W21/Sheet1!V21*100,2),"")</f>
        <v/>
      </c>
      <c r="AT14" s="1" t="str">
        <f>IFERROR(ROUND(Sheet1!Y21/Sheet1!V21*M14,0),"")</f>
        <v/>
      </c>
      <c r="AU14" s="1" t="str">
        <f>IFERROR(ROUND(Sheet1!Y21/Sheet1!V21*100,2),"")</f>
        <v/>
      </c>
      <c r="AW14" s="1" t="str">
        <f>IFERROR(ROUND(Sheet1!X21/Sheet1!V21*M14,0),"")</f>
        <v/>
      </c>
      <c r="AX14" s="1" t="str">
        <f>IFERROR(ROUND(Sheet1!X21/Sheet1!V21*100,2),"")</f>
        <v/>
      </c>
      <c r="AZ14" s="1" t="str">
        <f>IFERROR(ROUND(Sheet1!Z21/Sheet1!V21*M14,0),"")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4" t="str">
        <f>IF(Sheet1!B22="","",Sheet1!B22)</f>
        <v/>
      </c>
      <c r="B15" s="24" t="str">
        <f>IF(Sheet1!C22="","",Sheet1!C22)</f>
        <v/>
      </c>
      <c r="C15" s="48" t="str">
        <f>IF(Sheet1!D22="","",Sheet1!D22)</f>
        <v/>
      </c>
      <c r="D15" s="1" t="str">
        <f>IFERROR(ROUND(Sheet1!D22*Sheet1!F22/Sheet1!E22,2),"")</f>
        <v/>
      </c>
      <c r="E15" s="1" t="str">
        <f>IFERROR(ROUND(Sheet1!F22/Sheet1!E22*100,2),"")</f>
        <v/>
      </c>
      <c r="G15" s="1" t="str">
        <f>IFERROR(ROUND(Sheet1!D22*Sheet1!J22/Sheet1!G22,0),"")</f>
        <v/>
      </c>
      <c r="H15" s="1" t="str">
        <f>IFERROR(ROUND(Sheet1!J22/Sheet1!G22*100,2),"")</f>
        <v/>
      </c>
      <c r="J15" s="1" t="str">
        <f>IFERROR(ROUND(Sheet1!D22*Sheet1!K22/Sheet1!G22,0),"")</f>
        <v/>
      </c>
      <c r="K15" s="1" t="str">
        <f>IFERROR(ROUND(Sheet1!K22/Sheet1!G22*100,2),"")</f>
        <v/>
      </c>
      <c r="M15" s="1" t="str">
        <f>IFERROR(ROUND(Sheet1!D22*Sheet1!I22/Sheet1!G22,0),"")</f>
        <v/>
      </c>
      <c r="N15" s="1" t="str">
        <f>IFERROR(ROUND(Sheet1!I22/Sheet1!G22*100,2),"")</f>
        <v/>
      </c>
      <c r="P15" s="1" t="str">
        <f>IFERROR(ROUND(Sheet1!L22/Sheet1!H22*M15,0),"")</f>
        <v/>
      </c>
      <c r="Q15" s="1" t="str">
        <f>IFERROR(ROUND(Sheet1!L22/Sheet1!H22*100,2),"")</f>
        <v/>
      </c>
      <c r="S15" s="1" t="str">
        <f>IFERROR(ROUND(Sheet1!M22/Sheet1!H22*M15,0),"")</f>
        <v/>
      </c>
      <c r="T15" s="1" t="str">
        <f>IFERROR(ROUND(Sheet1!M22/Sheet1!H22*100,2),"")</f>
        <v/>
      </c>
      <c r="V15" s="1" t="str">
        <f>IFERROR(ROUND(Sheet1!O22/Sheet1!H22*M15,0),"")</f>
        <v/>
      </c>
      <c r="W15" s="1" t="str">
        <f>IFERROR(ROUND(Sheet1!O22/Sheet1!H22*100,2),"")</f>
        <v/>
      </c>
      <c r="AA15" s="1" t="str">
        <f>IFERROR(ROUND(Sheet1!P22/Sheet1!H22*100,2),"")</f>
        <v/>
      </c>
      <c r="AC15" s="1" t="str">
        <f>IFERROR(ROUND(Sheet1!N22/Sheet1!H22*100,2),"")</f>
        <v/>
      </c>
      <c r="AE15" s="1" t="str">
        <f>IFERROR(ROUND(Sheet1!Q22/Sheet1!H22*M15,0),"")</f>
        <v/>
      </c>
      <c r="AF15" s="1" t="str">
        <f>IFERROR(ROUND(Sheet1!Q22/Sheet1!H22*100,2),"")</f>
        <v/>
      </c>
      <c r="AH15" s="1" t="str">
        <f>IFERROR(ROUND(Sheet1!R22/Sheet1!H22*M15,0),"")</f>
        <v/>
      </c>
      <c r="AI15" s="1" t="str">
        <f>IFERROR(ROUND(Sheet1!R22/Sheet1!H22*100,2),"")</f>
        <v/>
      </c>
      <c r="AK15" s="1" t="str">
        <f t="shared" si="0"/>
        <v/>
      </c>
      <c r="AL15" s="1" t="str">
        <f>IFERROR(ROUND(Sheet1!U22/Sheet1!S22*M15,0),"")</f>
        <v/>
      </c>
      <c r="AM15" s="1" t="str">
        <f>IFERROR(ROUND(Sheet1!U22/Sheet1!T22*100,2),"")</f>
        <v/>
      </c>
      <c r="AQ15" s="1" t="str">
        <f>IFERROR(ROUND(Sheet1!W22/Sheet1!V22*M15,0),"")</f>
        <v/>
      </c>
      <c r="AR15" s="1" t="str">
        <f>IFERROR(ROUND(Sheet1!W22/Sheet1!V22*100,2),"")</f>
        <v/>
      </c>
      <c r="AT15" s="1" t="str">
        <f>IFERROR(ROUND(Sheet1!Y22/Sheet1!V22*M15,0),"")</f>
        <v/>
      </c>
      <c r="AU15" s="1" t="str">
        <f>IFERROR(ROUND(Sheet1!Y22/Sheet1!V22*100,2),"")</f>
        <v/>
      </c>
      <c r="AW15" s="1" t="str">
        <f>IFERROR(ROUND(Sheet1!X22/Sheet1!V22*M15,0),"")</f>
        <v/>
      </c>
      <c r="AX15" s="1" t="str">
        <f>IFERROR(ROUND(Sheet1!X22/Sheet1!V22*100,2),"")</f>
        <v/>
      </c>
      <c r="AZ15" s="1" t="str">
        <f>IFERROR(ROUND(Sheet1!Z22/Sheet1!V22*M15,0),"")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4" t="str">
        <f>IF(Sheet1!B23="","",Sheet1!B23)</f>
        <v/>
      </c>
      <c r="B16" s="24" t="str">
        <f>IF(Sheet1!C23="","",Sheet1!C23)</f>
        <v/>
      </c>
      <c r="C16" s="48" t="str">
        <f>IF(Sheet1!D23="","",Sheet1!D23)</f>
        <v/>
      </c>
      <c r="D16" s="1" t="str">
        <f>IFERROR(ROUND(Sheet1!D23*Sheet1!F23/Sheet1!E23,2),"")</f>
        <v/>
      </c>
      <c r="E16" s="1" t="str">
        <f>IFERROR(ROUND(Sheet1!F23/Sheet1!E23*100,2),"")</f>
        <v/>
      </c>
      <c r="G16" s="1" t="str">
        <f>IFERROR(ROUND(Sheet1!D23*Sheet1!J23/Sheet1!G23,0),"")</f>
        <v/>
      </c>
      <c r="H16" s="1" t="str">
        <f>IFERROR(ROUND(Sheet1!J23/Sheet1!G23*100,2),"")</f>
        <v/>
      </c>
      <c r="J16" s="1" t="str">
        <f>IFERROR(ROUND(Sheet1!D23*Sheet1!K23/Sheet1!G23,0),"")</f>
        <v/>
      </c>
      <c r="K16" s="1" t="str">
        <f>IFERROR(ROUND(Sheet1!K23/Sheet1!G23*100,2),"")</f>
        <v/>
      </c>
      <c r="M16" s="1" t="str">
        <f>IFERROR(ROUND(Sheet1!D23*Sheet1!I23/Sheet1!G23,0),"")</f>
        <v/>
      </c>
      <c r="N16" s="1" t="str">
        <f>IFERROR(ROUND(Sheet1!I23/Sheet1!G23*100,2),"")</f>
        <v/>
      </c>
      <c r="P16" s="1" t="str">
        <f>IFERROR(ROUND(Sheet1!L23/Sheet1!H23*M16,0),"")</f>
        <v/>
      </c>
      <c r="Q16" s="1" t="str">
        <f>IFERROR(ROUND(Sheet1!L23/Sheet1!H23*100,2),"")</f>
        <v/>
      </c>
      <c r="S16" s="1" t="str">
        <f>IFERROR(ROUND(Sheet1!M23/Sheet1!H23*M16,0),"")</f>
        <v/>
      </c>
      <c r="T16" s="1" t="str">
        <f>IFERROR(ROUND(Sheet1!M23/Sheet1!H23*100,2),"")</f>
        <v/>
      </c>
      <c r="V16" s="1" t="str">
        <f>IFERROR(ROUND(Sheet1!O23/Sheet1!H23*M16,0),"")</f>
        <v/>
      </c>
      <c r="W16" s="1" t="str">
        <f>IFERROR(ROUND(Sheet1!O23/Sheet1!H23*100,2),"")</f>
        <v/>
      </c>
      <c r="AA16" s="1" t="str">
        <f>IFERROR(ROUND(Sheet1!P23/Sheet1!H23*100,2),"")</f>
        <v/>
      </c>
      <c r="AC16" s="1" t="str">
        <f>IFERROR(ROUND(Sheet1!N23/Sheet1!H23*100,2),"")</f>
        <v/>
      </c>
      <c r="AE16" s="1" t="str">
        <f>IFERROR(ROUND(Sheet1!Q23/Sheet1!H23*M16,0),"")</f>
        <v/>
      </c>
      <c r="AF16" s="1" t="str">
        <f>IFERROR(ROUND(Sheet1!Q23/Sheet1!H23*100,2),"")</f>
        <v/>
      </c>
      <c r="AH16" s="1" t="str">
        <f>IFERROR(ROUND(Sheet1!R23/Sheet1!H23*M16,0),"")</f>
        <v/>
      </c>
      <c r="AI16" s="1" t="str">
        <f>IFERROR(ROUND(Sheet1!R23/Sheet1!H23*100,2),"")</f>
        <v/>
      </c>
      <c r="AK16" s="1" t="str">
        <f t="shared" si="0"/>
        <v/>
      </c>
      <c r="AL16" s="1" t="str">
        <f>IFERROR(ROUND(Sheet1!U23/Sheet1!S23*M16,0),"")</f>
        <v/>
      </c>
      <c r="AM16" s="1" t="str">
        <f>IFERROR(ROUND(Sheet1!U23/Sheet1!T23*100,2),"")</f>
        <v/>
      </c>
      <c r="AQ16" s="1" t="str">
        <f>IFERROR(ROUND(Sheet1!W23/Sheet1!V23*M16,0),"")</f>
        <v/>
      </c>
      <c r="AR16" s="1" t="str">
        <f>IFERROR(ROUND(Sheet1!W23/Sheet1!V23*100,2),"")</f>
        <v/>
      </c>
      <c r="AT16" s="1" t="str">
        <f>IFERROR(ROUND(Sheet1!Y23/Sheet1!V23*M16,0),"")</f>
        <v/>
      </c>
      <c r="AU16" s="1" t="str">
        <f>IFERROR(ROUND(Sheet1!Y23/Sheet1!V23*100,2),"")</f>
        <v/>
      </c>
      <c r="AW16" s="1" t="str">
        <f>IFERROR(ROUND(Sheet1!X23/Sheet1!V23*M16,0),"")</f>
        <v/>
      </c>
      <c r="AX16" s="1" t="str">
        <f>IFERROR(ROUND(Sheet1!X23/Sheet1!V23*100,2),"")</f>
        <v/>
      </c>
      <c r="AZ16" s="1" t="str">
        <f>IFERROR(ROUND(Sheet1!Z23/Sheet1!V23*M16,0),"")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4" t="str">
        <f>IF(Sheet1!B24="","",Sheet1!B24)</f>
        <v/>
      </c>
      <c r="B17" s="24" t="str">
        <f>IF(Sheet1!C24="","",Sheet1!C24)</f>
        <v/>
      </c>
      <c r="C17" s="48" t="str">
        <f>IF(Sheet1!D24="","",Sheet1!D24)</f>
        <v/>
      </c>
      <c r="D17" s="1" t="str">
        <f>IFERROR(ROUND(Sheet1!D24*Sheet1!F24/Sheet1!E24,2),"")</f>
        <v/>
      </c>
      <c r="E17" s="1" t="str">
        <f>IFERROR(ROUND(Sheet1!F24/Sheet1!E24*100,2),"")</f>
        <v/>
      </c>
      <c r="G17" s="1" t="str">
        <f>IFERROR(ROUND(Sheet1!D24*Sheet1!J24/Sheet1!G24,0),"")</f>
        <v/>
      </c>
      <c r="H17" s="1" t="str">
        <f>IFERROR(ROUND(Sheet1!J24/Sheet1!G24*100,2),"")</f>
        <v/>
      </c>
      <c r="J17" s="1" t="str">
        <f>IFERROR(ROUND(Sheet1!D24*Sheet1!K24/Sheet1!G24,0),"")</f>
        <v/>
      </c>
      <c r="K17" s="1" t="str">
        <f>IFERROR(ROUND(Sheet1!K24/Sheet1!G24*100,2),"")</f>
        <v/>
      </c>
      <c r="M17" s="1" t="str">
        <f>IFERROR(ROUND(Sheet1!D24*Sheet1!I24/Sheet1!G24,0),"")</f>
        <v/>
      </c>
      <c r="N17" s="1" t="str">
        <f>IFERROR(ROUND(Sheet1!I24/Sheet1!G24*100,2),"")</f>
        <v/>
      </c>
      <c r="P17" s="1" t="str">
        <f>IFERROR(ROUND(Sheet1!L24/Sheet1!H24*M17,0),"")</f>
        <v/>
      </c>
      <c r="Q17" s="1" t="str">
        <f>IFERROR(ROUND(Sheet1!L24/Sheet1!H24*100,2),"")</f>
        <v/>
      </c>
      <c r="S17" s="1" t="str">
        <f>IFERROR(ROUND(Sheet1!M24/Sheet1!H24*M17,0),"")</f>
        <v/>
      </c>
      <c r="T17" s="1" t="str">
        <f>IFERROR(ROUND(Sheet1!M24/Sheet1!H24*100,2),"")</f>
        <v/>
      </c>
      <c r="V17" s="1" t="str">
        <f>IFERROR(ROUND(Sheet1!O24/Sheet1!H24*M17,0),"")</f>
        <v/>
      </c>
      <c r="W17" s="1" t="str">
        <f>IFERROR(ROUND(Sheet1!O24/Sheet1!H24*100,2),"")</f>
        <v/>
      </c>
      <c r="AA17" s="1" t="str">
        <f>IFERROR(ROUND(Sheet1!P24/Sheet1!H24*100,2),"")</f>
        <v/>
      </c>
      <c r="AC17" s="1" t="str">
        <f>IFERROR(ROUND(Sheet1!N24/Sheet1!H24*100,2),"")</f>
        <v/>
      </c>
      <c r="AE17" s="1" t="str">
        <f>IFERROR(ROUND(Sheet1!Q24/Sheet1!H24*M17,0),"")</f>
        <v/>
      </c>
      <c r="AF17" s="1" t="str">
        <f>IFERROR(ROUND(Sheet1!Q24/Sheet1!H24*100,2),"")</f>
        <v/>
      </c>
      <c r="AH17" s="1" t="str">
        <f>IFERROR(ROUND(Sheet1!R24/Sheet1!H24*M17,0),"")</f>
        <v/>
      </c>
      <c r="AI17" s="1" t="str">
        <f>IFERROR(ROUND(Sheet1!R24/Sheet1!H24*100,2),"")</f>
        <v/>
      </c>
      <c r="AK17" s="1" t="str">
        <f t="shared" ref="AK17:AK31" si="1">IFERROR(ROUND(AF17/AI17,2),"")</f>
        <v/>
      </c>
      <c r="AL17" s="1" t="str">
        <f>IFERROR(ROUND(Sheet1!U24/Sheet1!S24*M17,0),"")</f>
        <v/>
      </c>
      <c r="AM17" s="1" t="str">
        <f>IFERROR(ROUND(Sheet1!U24/Sheet1!T24*100,2),"")</f>
        <v/>
      </c>
      <c r="AQ17" s="1" t="str">
        <f>IFERROR(ROUND(Sheet1!W24/Sheet1!V24*M17,0),"")</f>
        <v/>
      </c>
      <c r="AR17" s="1" t="str">
        <f>IFERROR(ROUND(Sheet1!W24/Sheet1!V24*100,2),"")</f>
        <v/>
      </c>
      <c r="AT17" s="1" t="str">
        <f>IFERROR(ROUND(Sheet1!Y24/Sheet1!V24*M17,0),"")</f>
        <v/>
      </c>
      <c r="AU17" s="1" t="str">
        <f>IFERROR(ROUND(Sheet1!Y24/Sheet1!V24*100,2),"")</f>
        <v/>
      </c>
      <c r="AW17" s="1" t="str">
        <f>IFERROR(ROUND(Sheet1!X24/Sheet1!V24*M17,0),"")</f>
        <v/>
      </c>
      <c r="AX17" s="1" t="str">
        <f>IFERROR(ROUND(Sheet1!X24/Sheet1!V24*100,2),"")</f>
        <v/>
      </c>
      <c r="AZ17" s="1" t="str">
        <f>IFERROR(ROUND(Sheet1!Z24/Sheet1!V24*M17,0),"")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4" t="str">
        <f>IF(Sheet1!B25="","",Sheet1!B25)</f>
        <v/>
      </c>
      <c r="B18" s="24" t="str">
        <f>IF(Sheet1!C25="","",Sheet1!C25)</f>
        <v/>
      </c>
      <c r="C18" s="48" t="str">
        <f>IF(Sheet1!D25="","",Sheet1!D25)</f>
        <v/>
      </c>
      <c r="D18" s="1" t="str">
        <f>IFERROR(ROUND(Sheet1!D25*Sheet1!F25/Sheet1!E25,2),"")</f>
        <v/>
      </c>
      <c r="E18" s="1" t="str">
        <f>IFERROR(ROUND(Sheet1!F25/Sheet1!E25*100,2),"")</f>
        <v/>
      </c>
      <c r="G18" s="1" t="str">
        <f>IFERROR(ROUND(Sheet1!D25*Sheet1!J25/Sheet1!G25,0),"")</f>
        <v/>
      </c>
      <c r="H18" s="1" t="str">
        <f>IFERROR(ROUND(Sheet1!J25/Sheet1!G25*100,2),"")</f>
        <v/>
      </c>
      <c r="J18" s="1" t="str">
        <f>IFERROR(ROUND(Sheet1!D25*Sheet1!K25/Sheet1!G25,0),"")</f>
        <v/>
      </c>
      <c r="K18" s="1" t="str">
        <f>IFERROR(ROUND(Sheet1!K25/Sheet1!G25*100,2),"")</f>
        <v/>
      </c>
      <c r="M18" s="1" t="str">
        <f>IFERROR(ROUND(Sheet1!D25*Sheet1!I25/Sheet1!G25,0),"")</f>
        <v/>
      </c>
      <c r="N18" s="1" t="str">
        <f>IFERROR(ROUND(Sheet1!I25/Sheet1!G25*100,2),"")</f>
        <v/>
      </c>
      <c r="P18" s="1" t="str">
        <f>IFERROR(ROUND(Sheet1!L25/Sheet1!H25*M18,0),"")</f>
        <v/>
      </c>
      <c r="Q18" s="1" t="str">
        <f>IFERROR(ROUND(Sheet1!L25/Sheet1!H25*100,2),"")</f>
        <v/>
      </c>
      <c r="S18" s="1" t="str">
        <f>IFERROR(ROUND(Sheet1!M25/Sheet1!H25*M18,0),"")</f>
        <v/>
      </c>
      <c r="T18" s="1" t="str">
        <f>IFERROR(ROUND(Sheet1!M25/Sheet1!H25*100,2),"")</f>
        <v/>
      </c>
      <c r="V18" s="1" t="str">
        <f>IFERROR(ROUND(Sheet1!O25/Sheet1!H25*M18,0),"")</f>
        <v/>
      </c>
      <c r="W18" s="1" t="str">
        <f>IFERROR(ROUND(Sheet1!O25/Sheet1!H25*100,2),"")</f>
        <v/>
      </c>
      <c r="AA18" s="1" t="str">
        <f>IFERROR(ROUND(Sheet1!P25/Sheet1!H25*100,2),"")</f>
        <v/>
      </c>
      <c r="AC18" s="1" t="str">
        <f>IFERROR(ROUND(Sheet1!N25/Sheet1!H25*100,2),"")</f>
        <v/>
      </c>
      <c r="AE18" s="1" t="str">
        <f>IFERROR(ROUND(Sheet1!Q25/Sheet1!H25*M18,0),"")</f>
        <v/>
      </c>
      <c r="AF18" s="1" t="str">
        <f>IFERROR(ROUND(Sheet1!Q25/Sheet1!H25*100,2),"")</f>
        <v/>
      </c>
      <c r="AH18" s="1" t="str">
        <f>IFERROR(ROUND(Sheet1!R25/Sheet1!H25*M18,0),"")</f>
        <v/>
      </c>
      <c r="AI18" s="1" t="str">
        <f>IFERROR(ROUND(Sheet1!R25/Sheet1!H25*100,2),"")</f>
        <v/>
      </c>
      <c r="AK18" s="1" t="str">
        <f t="shared" si="1"/>
        <v/>
      </c>
      <c r="AL18" s="1" t="str">
        <f>IFERROR(ROUND(Sheet1!U25/Sheet1!S25*M18,0),"")</f>
        <v/>
      </c>
      <c r="AM18" s="1" t="str">
        <f>IFERROR(ROUND(Sheet1!U25/Sheet1!T25*100,2),"")</f>
        <v/>
      </c>
      <c r="AQ18" s="1" t="str">
        <f>IFERROR(ROUND(Sheet1!W25/Sheet1!V25*M18,0),"")</f>
        <v/>
      </c>
      <c r="AR18" s="1" t="str">
        <f>IFERROR(ROUND(Sheet1!W25/Sheet1!V25*100,2),"")</f>
        <v/>
      </c>
      <c r="AT18" s="1" t="str">
        <f>IFERROR(ROUND(Sheet1!Y25/Sheet1!V25*M18,0),"")</f>
        <v/>
      </c>
      <c r="AU18" s="1" t="str">
        <f>IFERROR(ROUND(Sheet1!Y25/Sheet1!V25*100,2),"")</f>
        <v/>
      </c>
      <c r="AW18" s="1" t="str">
        <f>IFERROR(ROUND(Sheet1!X25/Sheet1!V25*M18,0),"")</f>
        <v/>
      </c>
      <c r="AX18" s="1" t="str">
        <f>IFERROR(ROUND(Sheet1!X25/Sheet1!V25*100,2),"")</f>
        <v/>
      </c>
      <c r="AZ18" s="1" t="str">
        <f>IFERROR(ROUND(Sheet1!Z25/Sheet1!V25*M18,0),"")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4" t="str">
        <f>IF(Sheet1!B26="","",Sheet1!B26)</f>
        <v/>
      </c>
      <c r="B19" s="24" t="str">
        <f>IF(Sheet1!C26="","",Sheet1!C26)</f>
        <v/>
      </c>
      <c r="C19" s="48" t="str">
        <f>IF(Sheet1!D26="","",Sheet1!D26)</f>
        <v/>
      </c>
      <c r="D19" s="1" t="str">
        <f>IFERROR(ROUND(Sheet1!D26*Sheet1!F26/Sheet1!E26,2),"")</f>
        <v/>
      </c>
      <c r="E19" s="1" t="str">
        <f>IFERROR(ROUND(Sheet1!F26/Sheet1!E26*100,2),"")</f>
        <v/>
      </c>
      <c r="G19" s="1" t="str">
        <f>IFERROR(ROUND(Sheet1!D26*Sheet1!J26/Sheet1!G26,0),"")</f>
        <v/>
      </c>
      <c r="H19" s="1" t="str">
        <f>IFERROR(ROUND(Sheet1!J26/Sheet1!G26*100,2),"")</f>
        <v/>
      </c>
      <c r="J19" s="1" t="str">
        <f>IFERROR(ROUND(Sheet1!D26*Sheet1!K26/Sheet1!G26,0),"")</f>
        <v/>
      </c>
      <c r="K19" s="1" t="str">
        <f>IFERROR(ROUND(Sheet1!K26/Sheet1!G26*100,2),"")</f>
        <v/>
      </c>
      <c r="M19" s="1" t="str">
        <f>IFERROR(ROUND(Sheet1!D26*Sheet1!I26/Sheet1!G26,0),"")</f>
        <v/>
      </c>
      <c r="N19" s="1" t="str">
        <f>IFERROR(ROUND(Sheet1!I26/Sheet1!G26*100,2),"")</f>
        <v/>
      </c>
      <c r="P19" s="1" t="str">
        <f>IFERROR(ROUND(Sheet1!L26/Sheet1!H26*M19,0),"")</f>
        <v/>
      </c>
      <c r="Q19" s="1" t="str">
        <f>IFERROR(ROUND(Sheet1!L26/Sheet1!H26*100,2),"")</f>
        <v/>
      </c>
      <c r="S19" s="1" t="str">
        <f>IFERROR(ROUND(Sheet1!M26/Sheet1!H26*M19,0),"")</f>
        <v/>
      </c>
      <c r="T19" s="1" t="str">
        <f>IFERROR(ROUND(Sheet1!M26/Sheet1!H26*100,2),"")</f>
        <v/>
      </c>
      <c r="V19" s="1" t="str">
        <f>IFERROR(ROUND(Sheet1!O26/Sheet1!H26*M19,0),"")</f>
        <v/>
      </c>
      <c r="W19" s="1" t="str">
        <f>IFERROR(ROUND(Sheet1!O26/Sheet1!H26*100,2),"")</f>
        <v/>
      </c>
      <c r="AA19" s="1" t="str">
        <f>IFERROR(ROUND(Sheet1!P26/Sheet1!H26*100,2),"")</f>
        <v/>
      </c>
      <c r="AC19" s="1" t="str">
        <f>IFERROR(ROUND(Sheet1!N26/Sheet1!H26*100,2),"")</f>
        <v/>
      </c>
      <c r="AE19" s="1" t="str">
        <f>IFERROR(ROUND(Sheet1!Q26/Sheet1!H26*M19,0),"")</f>
        <v/>
      </c>
      <c r="AF19" s="1" t="str">
        <f>IFERROR(ROUND(Sheet1!Q26/Sheet1!H26*100,2),"")</f>
        <v/>
      </c>
      <c r="AH19" s="1" t="str">
        <f>IFERROR(ROUND(Sheet1!R26/Sheet1!H26*M19,0),"")</f>
        <v/>
      </c>
      <c r="AI19" s="1" t="str">
        <f>IFERROR(ROUND(Sheet1!R26/Sheet1!H26*100,2),"")</f>
        <v/>
      </c>
      <c r="AK19" s="1" t="str">
        <f t="shared" si="1"/>
        <v/>
      </c>
      <c r="AL19" s="1" t="str">
        <f>IFERROR(ROUND(Sheet1!U26/Sheet1!S26*M19,0),"")</f>
        <v/>
      </c>
      <c r="AM19" s="1" t="str">
        <f>IFERROR(ROUND(Sheet1!U26/Sheet1!T26*100,2),"")</f>
        <v/>
      </c>
      <c r="AQ19" s="1" t="str">
        <f>IFERROR(ROUND(Sheet1!W26/Sheet1!V26*M19,0),"")</f>
        <v/>
      </c>
      <c r="AR19" s="1" t="str">
        <f>IFERROR(ROUND(Sheet1!W26/Sheet1!V26*100,2),"")</f>
        <v/>
      </c>
      <c r="AT19" s="1" t="str">
        <f>IFERROR(ROUND(Sheet1!Y26/Sheet1!V26*M19,0),"")</f>
        <v/>
      </c>
      <c r="AU19" s="1" t="str">
        <f>IFERROR(ROUND(Sheet1!Y26/Sheet1!V26*100,2),"")</f>
        <v/>
      </c>
      <c r="AW19" s="1" t="str">
        <f>IFERROR(ROUND(Sheet1!X26/Sheet1!V26*M19,0),"")</f>
        <v/>
      </c>
      <c r="AX19" s="1" t="str">
        <f>IFERROR(ROUND(Sheet1!X26/Sheet1!V26*100,2),"")</f>
        <v/>
      </c>
      <c r="AZ19" s="1" t="str">
        <f>IFERROR(ROUND(Sheet1!Z26/Sheet1!V26*M19,0),"")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4" t="str">
        <f>IF(Sheet1!B27="","",Sheet1!B27)</f>
        <v/>
      </c>
      <c r="B20" s="24" t="str">
        <f>IF(Sheet1!C27="","",Sheet1!C27)</f>
        <v/>
      </c>
      <c r="C20" s="48" t="str">
        <f>IF(Sheet1!D27="","",Sheet1!D27)</f>
        <v/>
      </c>
      <c r="D20" s="1" t="str">
        <f>IFERROR(ROUND(Sheet1!D27*Sheet1!F27/Sheet1!E27,2),"")</f>
        <v/>
      </c>
      <c r="E20" s="1" t="str">
        <f>IFERROR(ROUND(Sheet1!F27/Sheet1!E27*100,2),"")</f>
        <v/>
      </c>
      <c r="G20" s="1" t="str">
        <f>IFERROR(ROUND(Sheet1!D27*Sheet1!J27/Sheet1!G27,0),"")</f>
        <v/>
      </c>
      <c r="H20" s="1" t="str">
        <f>IFERROR(ROUND(Sheet1!J27/Sheet1!G27*100,2),"")</f>
        <v/>
      </c>
      <c r="J20" s="1" t="str">
        <f>IFERROR(ROUND(Sheet1!D27*Sheet1!K27/Sheet1!G27,0),"")</f>
        <v/>
      </c>
      <c r="K20" s="1" t="str">
        <f>IFERROR(ROUND(Sheet1!K27/Sheet1!G27*100,2),"")</f>
        <v/>
      </c>
      <c r="M20" s="1" t="str">
        <f>IFERROR(ROUND(Sheet1!D27*Sheet1!I27/Sheet1!G27,0),"")</f>
        <v/>
      </c>
      <c r="N20" s="1" t="str">
        <f>IFERROR(ROUND(Sheet1!I27/Sheet1!G27*100,2),"")</f>
        <v/>
      </c>
      <c r="P20" s="1" t="str">
        <f>IFERROR(ROUND(Sheet1!L27/Sheet1!H27*M20,0),"")</f>
        <v/>
      </c>
      <c r="Q20" s="1" t="str">
        <f>IFERROR(ROUND(Sheet1!L27/Sheet1!H27*100,2),"")</f>
        <v/>
      </c>
      <c r="S20" s="1" t="str">
        <f>IFERROR(ROUND(Sheet1!M27/Sheet1!H27*M20,0),"")</f>
        <v/>
      </c>
      <c r="T20" s="1" t="str">
        <f>IFERROR(ROUND(Sheet1!M27/Sheet1!H27*100,2),"")</f>
        <v/>
      </c>
      <c r="V20" s="1" t="str">
        <f>IFERROR(ROUND(Sheet1!O27/Sheet1!H27*M20,0),"")</f>
        <v/>
      </c>
      <c r="W20" s="1" t="str">
        <f>IFERROR(ROUND(Sheet1!O27/Sheet1!H27*100,2),"")</f>
        <v/>
      </c>
      <c r="AA20" s="1" t="str">
        <f>IFERROR(ROUND(Sheet1!P27/Sheet1!H27*100,2),"")</f>
        <v/>
      </c>
      <c r="AC20" s="1" t="str">
        <f>IFERROR(ROUND(Sheet1!N27/Sheet1!H27*100,2),"")</f>
        <v/>
      </c>
      <c r="AE20" s="1" t="str">
        <f>IFERROR(ROUND(Sheet1!Q27/Sheet1!H27*M20,0),"")</f>
        <v/>
      </c>
      <c r="AF20" s="1" t="str">
        <f>IFERROR(ROUND(Sheet1!Q27/Sheet1!H27*100,2),"")</f>
        <v/>
      </c>
      <c r="AH20" s="1" t="str">
        <f>IFERROR(ROUND(Sheet1!R27/Sheet1!H27*M20,0),"")</f>
        <v/>
      </c>
      <c r="AI20" s="1" t="str">
        <f>IFERROR(ROUND(Sheet1!R27/Sheet1!H27*100,2),"")</f>
        <v/>
      </c>
      <c r="AK20" s="1" t="str">
        <f t="shared" si="1"/>
        <v/>
      </c>
      <c r="AL20" s="1" t="str">
        <f>IFERROR(ROUND(Sheet1!U27/Sheet1!S27*M20,0),"")</f>
        <v/>
      </c>
      <c r="AM20" s="1" t="str">
        <f>IFERROR(ROUND(Sheet1!U27/Sheet1!T27*100,2),"")</f>
        <v/>
      </c>
      <c r="AQ20" s="1" t="str">
        <f>IFERROR(ROUND(Sheet1!W27/Sheet1!V27*M20,0),"")</f>
        <v/>
      </c>
      <c r="AR20" s="1" t="str">
        <f>IFERROR(ROUND(Sheet1!W27/Sheet1!V27*100,2),"")</f>
        <v/>
      </c>
      <c r="AT20" s="1" t="str">
        <f>IFERROR(ROUND(Sheet1!Y27/Sheet1!V27*M20,0),"")</f>
        <v/>
      </c>
      <c r="AU20" s="1" t="str">
        <f>IFERROR(ROUND(Sheet1!Y27/Sheet1!V27*100,2),"")</f>
        <v/>
      </c>
      <c r="AW20" s="1" t="str">
        <f>IFERROR(ROUND(Sheet1!X27/Sheet1!V27*M20,0),"")</f>
        <v/>
      </c>
      <c r="AX20" s="1" t="str">
        <f>IFERROR(ROUND(Sheet1!X27/Sheet1!V27*100,2),"")</f>
        <v/>
      </c>
      <c r="AZ20" s="1" t="str">
        <f>IFERROR(ROUND(Sheet1!Z27/Sheet1!V27*M20,0),"")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4" t="str">
        <f>IF(Sheet1!B28="","",Sheet1!B28)</f>
        <v/>
      </c>
      <c r="B21" s="24" t="str">
        <f>IF(Sheet1!C28="","",Sheet1!C28)</f>
        <v/>
      </c>
      <c r="C21" s="48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si="1"/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4" t="str">
        <f>IF(Sheet1!B29="","",Sheet1!B29)</f>
        <v/>
      </c>
      <c r="B22" s="24" t="str">
        <f>IF(Sheet1!C29="","",Sheet1!C29)</f>
        <v/>
      </c>
      <c r="C22" s="48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1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4" t="str">
        <f>IF(Sheet1!B30="","",Sheet1!B30)</f>
        <v/>
      </c>
      <c r="B23" s="24" t="str">
        <f>IF(Sheet1!C30="","",Sheet1!C30)</f>
        <v/>
      </c>
      <c r="C23" s="48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1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4" t="str">
        <f>IF(Sheet1!B31="","",Sheet1!B31)</f>
        <v/>
      </c>
      <c r="B24" s="24" t="str">
        <f>IF(Sheet1!C31="","",Sheet1!C31)</f>
        <v/>
      </c>
      <c r="C24" s="48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1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4" t="str">
        <f>IF(Sheet1!B32="","",Sheet1!B32)</f>
        <v/>
      </c>
      <c r="B25" s="24" t="str">
        <f>IF(Sheet1!C32="","",Sheet1!C32)</f>
        <v/>
      </c>
      <c r="C25" s="48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1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4" t="str">
        <f>IF(Sheet1!B33="","",Sheet1!B33)</f>
        <v/>
      </c>
      <c r="B26" s="24" t="str">
        <f>IF(Sheet1!C33="","",Sheet1!C33)</f>
        <v/>
      </c>
      <c r="C26" s="48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1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4" t="str">
        <f>IF(Sheet1!B34="","",Sheet1!B34)</f>
        <v/>
      </c>
      <c r="B27" s="24" t="str">
        <f>IF(Sheet1!C34="","",Sheet1!C34)</f>
        <v/>
      </c>
      <c r="C27" s="48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1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4" t="str">
        <f>IF(Sheet1!B35="","",Sheet1!B35)</f>
        <v/>
      </c>
      <c r="B28" s="24" t="str">
        <f>IF(Sheet1!C35="","",Sheet1!C35)</f>
        <v/>
      </c>
      <c r="C28" s="48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1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4" t="str">
        <f>IF(Sheet1!B36="","",Sheet1!B36)</f>
        <v/>
      </c>
      <c r="B29" s="24" t="str">
        <f>IF(Sheet1!C36="","",Sheet1!C36)</f>
        <v/>
      </c>
      <c r="C29" s="48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1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4" t="str">
        <f>IF(Sheet1!B37="","",Sheet1!B37)</f>
        <v/>
      </c>
      <c r="B30" s="24" t="str">
        <f>IF(Sheet1!C37="","",Sheet1!C37)</f>
        <v/>
      </c>
      <c r="C30" s="48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1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4" t="str">
        <f>IF(Sheet1!B38="","",Sheet1!B38)</f>
        <v/>
      </c>
      <c r="B31" s="24" t="str">
        <f>IF(Sheet1!C38="","",Sheet1!C38)</f>
        <v/>
      </c>
      <c r="C31" s="48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1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4" t="str">
        <f>IF(Sheet1!B39="","",Sheet1!B39)</f>
        <v/>
      </c>
      <c r="B32" s="24" t="str">
        <f>IF(Sheet1!C39="","",Sheet1!C39)</f>
        <v/>
      </c>
      <c r="C32" s="48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2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4" t="str">
        <f>IF(Sheet1!B40="","",Sheet1!B40)</f>
        <v/>
      </c>
      <c r="B33" s="24" t="str">
        <f>IF(Sheet1!C40="","",Sheet1!C40)</f>
        <v/>
      </c>
      <c r="C33" s="48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2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4" t="str">
        <f>IF(Sheet1!B41="","",Sheet1!B41)</f>
        <v/>
      </c>
      <c r="B34" s="24" t="str">
        <f>IF(Sheet1!C41="","",Sheet1!C41)</f>
        <v/>
      </c>
      <c r="C34" s="48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2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4" t="str">
        <f>IF(Sheet1!B42="","",Sheet1!B42)</f>
        <v/>
      </c>
      <c r="B35" s="24" t="str">
        <f>IF(Sheet1!C42="","",Sheet1!C42)</f>
        <v/>
      </c>
      <c r="C35" s="48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3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4" t="str">
        <f>IF(Sheet1!B43="","",Sheet1!B43)</f>
        <v/>
      </c>
      <c r="B36" s="24" t="str">
        <f>IF(Sheet1!C43="","",Sheet1!C43)</f>
        <v/>
      </c>
      <c r="C36" s="48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3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4" t="str">
        <f>IF(Sheet1!B44="","",Sheet1!B44)</f>
        <v/>
      </c>
      <c r="B37" s="24" t="str">
        <f>IF(Sheet1!C44="","",Sheet1!C44)</f>
        <v/>
      </c>
      <c r="C37" s="48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3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4" t="str">
        <f>IF(Sheet1!B45="","",Sheet1!B45)</f>
        <v/>
      </c>
      <c r="B38" s="24" t="str">
        <f>IF(Sheet1!C45="","",Sheet1!C45)</f>
        <v/>
      </c>
      <c r="C38" s="48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3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4" t="str">
        <f>IF(Sheet1!B46="","",Sheet1!B46)</f>
        <v/>
      </c>
      <c r="B39" s="24" t="str">
        <f>IF(Sheet1!C46="","",Sheet1!C46)</f>
        <v/>
      </c>
      <c r="C39" s="48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3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4" t="str">
        <f>IF(Sheet1!B47="","",Sheet1!B47)</f>
        <v/>
      </c>
      <c r="B40" s="24" t="str">
        <f>IF(Sheet1!C47="","",Sheet1!C47)</f>
        <v/>
      </c>
      <c r="C40" s="48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3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4" t="str">
        <f>IF(Sheet1!B48="","",Sheet1!B48)</f>
        <v/>
      </c>
      <c r="B41" s="24" t="str">
        <f>IF(Sheet1!C48="","",Sheet1!C48)</f>
        <v/>
      </c>
      <c r="C41" s="48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3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4" t="str">
        <f>IF(Sheet1!B49="","",Sheet1!B49)</f>
        <v/>
      </c>
      <c r="B42" s="24" t="str">
        <f>IF(Sheet1!C49="","",Sheet1!C49)</f>
        <v/>
      </c>
      <c r="C42" s="48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3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4" t="str">
        <f>IF(Sheet1!B50="","",Sheet1!B50)</f>
        <v/>
      </c>
      <c r="B43" s="24" t="str">
        <f>IF(Sheet1!C50="","",Sheet1!C50)</f>
        <v/>
      </c>
      <c r="C43" s="48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3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4" t="str">
        <f>IF(Sheet1!B51="","",Sheet1!B51)</f>
        <v/>
      </c>
      <c r="B44" s="24" t="str">
        <f>IF(Sheet1!C51="","",Sheet1!C51)</f>
        <v/>
      </c>
      <c r="C44" s="48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3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4" t="str">
        <f>IF(Sheet1!B52="","",Sheet1!B52)</f>
        <v/>
      </c>
      <c r="B45" s="24" t="str">
        <f>IF(Sheet1!C52="","",Sheet1!C52)</f>
        <v/>
      </c>
      <c r="C45" s="48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3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4" t="str">
        <f>IF(Sheet1!B53="","",Sheet1!B53)</f>
        <v/>
      </c>
      <c r="B46" s="24" t="str">
        <f>IF(Sheet1!C53="","",Sheet1!C53)</f>
        <v/>
      </c>
      <c r="C46" s="48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3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4" t="str">
        <f>IF(Sheet1!B54="","",Sheet1!B54)</f>
        <v/>
      </c>
      <c r="B47" s="24" t="str">
        <f>IF(Sheet1!C54="","",Sheet1!C54)</f>
        <v/>
      </c>
      <c r="C47" s="48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3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4" t="str">
        <f>IF(Sheet1!B55="","",Sheet1!B55)</f>
        <v/>
      </c>
      <c r="B48" s="24" t="str">
        <f>IF(Sheet1!C55="","",Sheet1!C55)</f>
        <v/>
      </c>
      <c r="C48" s="48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3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4" t="str">
        <f>IF(Sheet1!B56="","",Sheet1!B56)</f>
        <v/>
      </c>
      <c r="B49" s="24" t="str">
        <f>IF(Sheet1!C56="","",Sheet1!C56)</f>
        <v/>
      </c>
      <c r="C49" s="48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3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4" t="str">
        <f>IF(Sheet1!B57="","",Sheet1!B57)</f>
        <v/>
      </c>
      <c r="B50" s="24" t="str">
        <f>IF(Sheet1!C57="","",Sheet1!C57)</f>
        <v/>
      </c>
      <c r="C50" s="48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4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4" t="str">
        <f>IF(Sheet1!B58="","",Sheet1!B58)</f>
        <v/>
      </c>
      <c r="B51" s="24" t="str">
        <f>IF(Sheet1!C58="","",Sheet1!C58)</f>
        <v/>
      </c>
      <c r="C51" s="48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4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4" t="str">
        <f>IF(Sheet1!B59="","",Sheet1!B59)</f>
        <v/>
      </c>
      <c r="B52" s="24" t="str">
        <f>IF(Sheet1!C59="","",Sheet1!C59)</f>
        <v/>
      </c>
      <c r="C52" s="48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4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4" t="str">
        <f>IF(Sheet1!B60="","",Sheet1!B60)</f>
        <v/>
      </c>
      <c r="B53" s="24" t="str">
        <f>IF(Sheet1!C60="","",Sheet1!C60)</f>
        <v/>
      </c>
      <c r="C53" s="48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4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4" t="str">
        <f>IF(Sheet1!B61="","",Sheet1!B61)</f>
        <v/>
      </c>
      <c r="B54" s="24" t="str">
        <f>IF(Sheet1!C61="","",Sheet1!C61)</f>
        <v/>
      </c>
      <c r="C54" s="48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4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4" t="str">
        <f>IF(Sheet1!B62="","",Sheet1!B62)</f>
        <v/>
      </c>
      <c r="B55" s="24" t="str">
        <f>IF(Sheet1!C62="","",Sheet1!C62)</f>
        <v/>
      </c>
      <c r="C55" s="48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5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4" t="str">
        <f>IF(Sheet1!B63="","",Sheet1!B63)</f>
        <v/>
      </c>
      <c r="B56" s="24" t="str">
        <f>IF(Sheet1!C63="","",Sheet1!C63)</f>
        <v/>
      </c>
      <c r="C56" s="48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5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4" t="str">
        <f>IF(Sheet1!B64="","",Sheet1!B64)</f>
        <v/>
      </c>
      <c r="B57" s="24" t="str">
        <f>IF(Sheet1!C64="","",Sheet1!C64)</f>
        <v/>
      </c>
      <c r="C57" s="48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5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4" t="str">
        <f>IF(Sheet1!B65="","",Sheet1!B65)</f>
        <v/>
      </c>
      <c r="B58" s="24" t="str">
        <f>IF(Sheet1!C65="","",Sheet1!C65)</f>
        <v/>
      </c>
      <c r="C58" s="48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5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4" t="str">
        <f>IF(Sheet1!B66="","",Sheet1!B66)</f>
        <v/>
      </c>
      <c r="B59" s="24" t="str">
        <f>IF(Sheet1!C66="","",Sheet1!C66)</f>
        <v/>
      </c>
      <c r="C59" s="48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5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4" t="str">
        <f>IF(Sheet1!B67="","",Sheet1!B67)</f>
        <v/>
      </c>
      <c r="B60" s="24" t="str">
        <f>IF(Sheet1!C67="","",Sheet1!C67)</f>
        <v/>
      </c>
      <c r="C60" s="48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5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4" t="str">
        <f>IF(Sheet1!B68="","",Sheet1!B68)</f>
        <v/>
      </c>
      <c r="B61" s="24" t="str">
        <f>IF(Sheet1!C68="","",Sheet1!C68)</f>
        <v/>
      </c>
      <c r="C61" s="48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5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4" t="str">
        <f>IF(Sheet1!B69="","",Sheet1!B69)</f>
        <v/>
      </c>
      <c r="B62" s="24" t="str">
        <f>IF(Sheet1!C69="","",Sheet1!C69)</f>
        <v/>
      </c>
      <c r="C62" s="48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5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4" t="str">
        <f>IF(Sheet1!B70="","",Sheet1!B70)</f>
        <v/>
      </c>
      <c r="B63" s="24" t="str">
        <f>IF(Sheet1!C70="","",Sheet1!C70)</f>
        <v/>
      </c>
      <c r="C63" s="48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5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4" t="str">
        <f>IF(Sheet1!B71="","",Sheet1!B71)</f>
        <v/>
      </c>
      <c r="B64" s="24" t="str">
        <f>IF(Sheet1!C71="","",Sheet1!C71)</f>
        <v/>
      </c>
      <c r="C64" s="48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5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4" t="str">
        <f>IF(Sheet1!B72="","",Sheet1!B72)</f>
        <v/>
      </c>
      <c r="B65" s="24" t="str">
        <f>IF(Sheet1!C72="","",Sheet1!C72)</f>
        <v/>
      </c>
      <c r="C65" s="48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5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4" t="str">
        <f>IF(Sheet1!B73="","",Sheet1!B73)</f>
        <v/>
      </c>
      <c r="B66" s="24" t="str">
        <f>IF(Sheet1!C73="","",Sheet1!C73)</f>
        <v/>
      </c>
      <c r="C66" s="48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5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4" t="str">
        <f>IF(Sheet1!B74="","",Sheet1!B74)</f>
        <v/>
      </c>
      <c r="B67" s="24" t="str">
        <f>IF(Sheet1!C74="","",Sheet1!C74)</f>
        <v/>
      </c>
      <c r="C67" s="48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5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4" t="str">
        <f>IF(Sheet1!B75="","",Sheet1!B75)</f>
        <v/>
      </c>
      <c r="B68" s="24" t="str">
        <f>IF(Sheet1!C75="","",Sheet1!C75)</f>
        <v/>
      </c>
      <c r="C68" s="48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5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4" t="str">
        <f>IF(Sheet1!B76="","",Sheet1!B76)</f>
        <v/>
      </c>
      <c r="B69" s="24" t="str">
        <f>IF(Sheet1!C76="","",Sheet1!C76)</f>
        <v/>
      </c>
      <c r="C69" s="48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5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"/>
  <sheetViews>
    <sheetView workbookViewId="0">
      <selection activeCell="D6" sqref="D6"/>
    </sheetView>
  </sheetViews>
  <sheetFormatPr defaultColWidth="10.8166666666667" defaultRowHeight="15.75"/>
  <cols>
    <col min="1" max="1" width="10.8166666666667" style="2"/>
    <col min="2" max="2" width="13.1833333333333" style="3" customWidth="1"/>
    <col min="3" max="3" width="15.8166666666667" style="4" customWidth="1"/>
    <col min="4" max="7" width="10.8166666666667" style="2"/>
    <col min="8" max="8" width="10.8166666666667" style="1"/>
    <col min="9" max="9" width="14.3" style="2" customWidth="1"/>
    <col min="10" max="10" width="14.5833333333333" style="2" customWidth="1"/>
    <col min="11" max="14" width="10.8166666666667" style="2"/>
    <col min="15" max="15" width="10.8166666666667" style="1"/>
    <col min="16" max="29" width="10.8166666666667" style="2"/>
    <col min="30" max="30" width="11.125" style="2" customWidth="1"/>
    <col min="31" max="16384" width="10.8166666666667" style="2"/>
  </cols>
  <sheetData>
    <row r="1" spans="1:30">
      <c r="A1" s="5" t="s">
        <v>119</v>
      </c>
      <c r="B1" s="6" t="s">
        <v>0</v>
      </c>
      <c r="C1" s="7" t="s">
        <v>1</v>
      </c>
      <c r="D1" s="8" t="s">
        <v>120</v>
      </c>
      <c r="E1" s="9"/>
      <c r="F1" s="10"/>
      <c r="G1" s="11" t="s">
        <v>121</v>
      </c>
      <c r="H1" s="12"/>
      <c r="I1" s="29"/>
      <c r="J1" s="29"/>
      <c r="K1" s="29"/>
      <c r="L1" s="29"/>
      <c r="M1" s="29"/>
      <c r="N1" s="29"/>
      <c r="O1" s="12"/>
      <c r="P1" s="29"/>
      <c r="Q1" s="29"/>
      <c r="R1" s="31"/>
      <c r="S1" s="32" t="s">
        <v>122</v>
      </c>
      <c r="T1" s="33"/>
      <c r="U1" s="34"/>
      <c r="V1" s="35" t="s">
        <v>123</v>
      </c>
      <c r="W1" s="36"/>
      <c r="X1" s="36"/>
      <c r="Y1" s="36"/>
      <c r="Z1" s="36"/>
      <c r="AA1" s="43" t="s">
        <v>124</v>
      </c>
      <c r="AB1" s="44"/>
      <c r="AC1" s="44"/>
      <c r="AD1" s="44"/>
    </row>
    <row r="2" spans="1:30">
      <c r="A2" s="13"/>
      <c r="B2" s="14"/>
      <c r="C2" s="15"/>
      <c r="D2" s="16"/>
      <c r="E2" s="17"/>
      <c r="F2" s="18"/>
      <c r="G2" s="19"/>
      <c r="H2" s="20"/>
      <c r="I2" s="30"/>
      <c r="J2" s="30"/>
      <c r="K2" s="30"/>
      <c r="L2" s="30"/>
      <c r="M2" s="30"/>
      <c r="N2" s="30"/>
      <c r="O2" s="20"/>
      <c r="P2" s="30"/>
      <c r="Q2" s="30"/>
      <c r="R2" s="37"/>
      <c r="S2" s="38"/>
      <c r="T2" s="39"/>
      <c r="U2" s="40"/>
      <c r="V2" s="36"/>
      <c r="W2" s="36"/>
      <c r="X2" s="36"/>
      <c r="Y2" s="36"/>
      <c r="Z2" s="36"/>
      <c r="AA2" s="44"/>
      <c r="AB2" s="44"/>
      <c r="AC2" s="44"/>
      <c r="AD2" s="44"/>
    </row>
    <row r="3" s="1" customFormat="1" ht="16.5" spans="1:30">
      <c r="A3" s="13"/>
      <c r="B3" s="14"/>
      <c r="C3" s="15"/>
      <c r="D3" s="21" t="s">
        <v>125</v>
      </c>
      <c r="E3" s="21" t="s">
        <v>126</v>
      </c>
      <c r="F3" s="21" t="s">
        <v>127</v>
      </c>
      <c r="G3" s="22" t="s">
        <v>128</v>
      </c>
      <c r="H3" s="22" t="s">
        <v>129</v>
      </c>
      <c r="I3" s="22" t="s">
        <v>130</v>
      </c>
      <c r="J3" s="22" t="s">
        <v>131</v>
      </c>
      <c r="K3" s="22" t="s">
        <v>132</v>
      </c>
      <c r="L3" s="22" t="s">
        <v>133</v>
      </c>
      <c r="M3" s="22" t="s">
        <v>134</v>
      </c>
      <c r="N3" s="22" t="s">
        <v>135</v>
      </c>
      <c r="O3" s="22" t="s">
        <v>136</v>
      </c>
      <c r="P3" s="22" t="s">
        <v>137</v>
      </c>
      <c r="Q3" s="22" t="s">
        <v>138</v>
      </c>
      <c r="R3" s="22" t="s">
        <v>139</v>
      </c>
      <c r="S3" s="41" t="s">
        <v>140</v>
      </c>
      <c r="T3" s="41" t="s">
        <v>141</v>
      </c>
      <c r="U3" s="41" t="s">
        <v>142</v>
      </c>
      <c r="V3" s="42" t="s">
        <v>143</v>
      </c>
      <c r="W3" s="42" t="s">
        <v>144</v>
      </c>
      <c r="X3" s="42" t="s">
        <v>145</v>
      </c>
      <c r="Y3" s="42" t="s">
        <v>146</v>
      </c>
      <c r="Z3" s="42" t="s">
        <v>147</v>
      </c>
      <c r="AA3" s="45" t="s">
        <v>148</v>
      </c>
      <c r="AB3" s="46" t="s">
        <v>149</v>
      </c>
      <c r="AC3" s="46" t="s">
        <v>150</v>
      </c>
      <c r="AD3" s="46" t="s">
        <v>151</v>
      </c>
    </row>
    <row r="4" ht="16.5" spans="1:30">
      <c r="A4" s="13"/>
      <c r="B4" s="14"/>
      <c r="C4" s="23"/>
      <c r="D4" s="21" t="s">
        <v>152</v>
      </c>
      <c r="E4" s="21" t="s">
        <v>153</v>
      </c>
      <c r="F4" s="21" t="s">
        <v>154</v>
      </c>
      <c r="G4" s="22" t="s">
        <v>155</v>
      </c>
      <c r="H4" s="22" t="s">
        <v>156</v>
      </c>
      <c r="I4" s="22" t="s">
        <v>157</v>
      </c>
      <c r="J4" s="22" t="s">
        <v>158</v>
      </c>
      <c r="K4" s="22" t="s">
        <v>159</v>
      </c>
      <c r="L4" s="22" t="s">
        <v>160</v>
      </c>
      <c r="M4" s="22" t="s">
        <v>161</v>
      </c>
      <c r="N4" s="22" t="s">
        <v>162</v>
      </c>
      <c r="O4" s="22" t="s">
        <v>163</v>
      </c>
      <c r="P4" s="22" t="s">
        <v>164</v>
      </c>
      <c r="Q4" s="22" t="s">
        <v>165</v>
      </c>
      <c r="R4" s="22" t="s">
        <v>166</v>
      </c>
      <c r="S4" s="41" t="s">
        <v>167</v>
      </c>
      <c r="T4" s="41" t="s">
        <v>168</v>
      </c>
      <c r="U4" s="41" t="s">
        <v>169</v>
      </c>
      <c r="V4" s="42" t="s">
        <v>170</v>
      </c>
      <c r="W4" s="42" t="s">
        <v>171</v>
      </c>
      <c r="X4" s="42" t="s">
        <v>172</v>
      </c>
      <c r="Y4" s="42" t="s">
        <v>173</v>
      </c>
      <c r="Z4" s="42" t="s">
        <v>174</v>
      </c>
      <c r="AA4" s="45" t="s">
        <v>175</v>
      </c>
      <c r="AB4" s="47" t="s">
        <v>18</v>
      </c>
      <c r="AC4" s="47" t="s">
        <v>176</v>
      </c>
      <c r="AD4" s="47" t="s">
        <v>177</v>
      </c>
    </row>
    <row r="5" s="1" customFormat="1" ht="16.5" spans="2:30">
      <c r="B5" s="24"/>
      <c r="C5" s="25"/>
      <c r="D5" s="26">
        <v>5730</v>
      </c>
      <c r="E5" s="27">
        <v>38363</v>
      </c>
      <c r="F5" s="27">
        <v>16</v>
      </c>
      <c r="G5" s="27">
        <v>34005</v>
      </c>
      <c r="H5" s="27">
        <v>12007</v>
      </c>
      <c r="I5" s="27">
        <v>12007</v>
      </c>
      <c r="J5" s="27">
        <v>1838</v>
      </c>
      <c r="K5" s="27">
        <v>18604</v>
      </c>
      <c r="L5" s="27">
        <v>5945</v>
      </c>
      <c r="M5" s="27">
        <v>1109</v>
      </c>
      <c r="N5" s="27">
        <v>254</v>
      </c>
      <c r="O5" s="27">
        <v>3408</v>
      </c>
      <c r="P5" s="27">
        <v>288</v>
      </c>
      <c r="Q5" s="27">
        <v>2516</v>
      </c>
      <c r="R5" s="27">
        <v>3045</v>
      </c>
      <c r="S5" s="27">
        <v>23316</v>
      </c>
      <c r="T5" s="27">
        <v>2614</v>
      </c>
      <c r="U5" s="27">
        <v>345</v>
      </c>
      <c r="V5" s="27">
        <v>9069</v>
      </c>
      <c r="W5" s="27">
        <v>124</v>
      </c>
      <c r="X5" s="27">
        <v>1616</v>
      </c>
      <c r="Y5" s="27">
        <v>334</v>
      </c>
      <c r="Z5" s="27">
        <v>1086</v>
      </c>
      <c r="AA5" s="27">
        <v>29053</v>
      </c>
      <c r="AB5" s="27">
        <v>73</v>
      </c>
      <c r="AC5" s="27">
        <v>42</v>
      </c>
      <c r="AD5" s="27">
        <v>6</v>
      </c>
    </row>
    <row r="6" ht="16.5" spans="15:31">
      <c r="O6" s="26"/>
      <c r="P6" s="26"/>
      <c r="Q6" s="26"/>
      <c r="R6" s="26"/>
      <c r="S6" s="28"/>
      <c r="T6" s="28"/>
      <c r="U6" s="28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5:31"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8"/>
    </row>
    <row r="8" spans="5:31"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8"/>
    </row>
    <row r="9" spans="5:31"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8"/>
    </row>
    <row r="10" spans="5:31"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</row>
    <row r="11" spans="5:31"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</row>
    <row r="12" spans="5:31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</row>
    <row r="13" spans="5:31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</row>
    <row r="14" spans="5:31"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</row>
    <row r="15" spans="5:31"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</row>
    <row r="16" spans="5:31"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5:31"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2023-09-27T01:54:14Z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5958D3B60B424259BA0D262B6C7E45BB_13</vt:lpwstr>
  </property>
</Properties>
</file>